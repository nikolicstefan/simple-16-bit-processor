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2EC706C9-3BDF-45E3-A704-604FDEBD8E59}" xr6:coauthVersionLast="47" xr6:coauthVersionMax="47" xr10:uidLastSave="{00000000-0000-0000-0000-000000000000}"/>
  <bookViews>
    <workbookView xWindow="-108" yWindow="-108" windowWidth="23256" windowHeight="12576" activeTab="9" xr2:uid="{00000000-000D-0000-FFFF-FFFF00000000}"/>
  </bookViews>
  <sheets>
    <sheet name="FETCH" sheetId="1" r:id="rId1"/>
    <sheet name="ADDR" sheetId="3" r:id="rId2"/>
    <sheet name="EXEC" sheetId="4" r:id="rId3"/>
    <sheet name="INTR" sheetId="5" r:id="rId4"/>
    <sheet name="Test 0" sheetId="7" r:id="rId5"/>
    <sheet name="Test 1" sheetId="6" r:id="rId6"/>
    <sheet name="Test 2" sheetId="8" r:id="rId7"/>
    <sheet name="Test 3" sheetId="9" r:id="rId8"/>
    <sheet name="Test 4" sheetId="10" r:id="rId9"/>
    <sheet name="Test 5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1" l="1"/>
  <c r="Q3" i="11" s="1"/>
  <c r="Q4" i="11" s="1"/>
  <c r="Q5" i="11" s="1"/>
  <c r="Q6" i="11" s="1"/>
  <c r="Q7" i="11" s="1"/>
  <c r="Q8" i="11" s="1"/>
  <c r="Q9" i="11" s="1"/>
  <c r="Q10" i="11" s="1"/>
  <c r="Q11" i="11" s="1"/>
  <c r="Q12" i="11" s="1"/>
  <c r="Q13" i="11" s="1"/>
  <c r="Q14" i="11" s="1"/>
  <c r="Q15" i="11" s="1"/>
  <c r="Q16" i="11" s="1"/>
  <c r="Q17" i="11" s="1"/>
  <c r="Q18" i="11" s="1"/>
  <c r="Q19" i="11" s="1"/>
  <c r="Q20" i="11" s="1"/>
  <c r="Q21" i="11" s="1"/>
  <c r="Q22" i="11" s="1"/>
  <c r="Q23" i="11" s="1"/>
  <c r="Q24" i="11" s="1"/>
  <c r="M2" i="11"/>
  <c r="M3" i="11" s="1"/>
  <c r="M4" i="11" s="1"/>
  <c r="M5" i="11" s="1"/>
  <c r="M6" i="11" s="1"/>
  <c r="M7" i="11" s="1"/>
  <c r="M8" i="11" s="1"/>
  <c r="M9" i="11" s="1"/>
  <c r="M10" i="11" s="1"/>
  <c r="M11" i="11" s="1"/>
  <c r="M12" i="11" s="1"/>
  <c r="M13" i="11" s="1"/>
  <c r="M14" i="11" s="1"/>
  <c r="M15" i="11" s="1"/>
  <c r="I2" i="11"/>
  <c r="I3" i="11" s="1"/>
  <c r="I4" i="11" s="1"/>
  <c r="I5" i="11" s="1"/>
  <c r="I6" i="11" s="1"/>
  <c r="I7" i="11" s="1"/>
  <c r="I8" i="11" s="1"/>
  <c r="I9" i="11" s="1"/>
  <c r="I10" i="11" s="1"/>
  <c r="I11" i="11" s="1"/>
  <c r="I12" i="11" s="1"/>
  <c r="I13" i="11" s="1"/>
  <c r="I14" i="11" s="1"/>
  <c r="I15" i="11" s="1"/>
  <c r="I16" i="11" s="1"/>
  <c r="E18" i="11"/>
  <c r="E19" i="11" s="1"/>
  <c r="E20" i="11" s="1"/>
  <c r="E21" i="11" s="1"/>
  <c r="E14" i="11"/>
  <c r="E15" i="11" s="1"/>
  <c r="E16" i="11" s="1"/>
  <c r="E17" i="11" s="1"/>
  <c r="E13" i="11"/>
  <c r="E2" i="11"/>
  <c r="E3" i="11" s="1"/>
  <c r="E4" i="11" s="1"/>
  <c r="E5" i="11" s="1"/>
  <c r="E6" i="11" s="1"/>
  <c r="E7" i="11" s="1"/>
  <c r="E8" i="11" s="1"/>
  <c r="E9" i="11" s="1"/>
  <c r="E10" i="11" s="1"/>
  <c r="Q12" i="10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3" i="10"/>
  <c r="Q4" i="10" s="1"/>
  <c r="Q5" i="10" s="1"/>
  <c r="Q6" i="10" s="1"/>
  <c r="Q7" i="10" s="1"/>
  <c r="Q8" i="10" s="1"/>
  <c r="Q9" i="10" s="1"/>
  <c r="Q10" i="10" s="1"/>
  <c r="Q11" i="10" s="1"/>
  <c r="Q2" i="10"/>
  <c r="M3" i="10"/>
  <c r="M4" i="10" s="1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2" i="10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2" i="10"/>
  <c r="E2" i="10"/>
  <c r="E3" i="10" s="1"/>
  <c r="E4" i="10" s="1"/>
  <c r="E5" i="10" s="1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D49" i="9"/>
  <c r="D46" i="9"/>
  <c r="D47" i="9" s="1"/>
  <c r="D48" i="9" s="1"/>
  <c r="D44" i="9"/>
  <c r="D45" i="9" s="1"/>
  <c r="D42" i="9"/>
  <c r="D43" i="9" s="1"/>
  <c r="D41" i="9"/>
  <c r="D39" i="9"/>
  <c r="D40" i="9" s="1"/>
  <c r="D38" i="9"/>
  <c r="D33" i="9"/>
  <c r="D34" i="9" s="1"/>
  <c r="D35" i="9" s="1"/>
  <c r="D36" i="9" s="1"/>
  <c r="D37" i="9" s="1"/>
  <c r="D30" i="9"/>
  <c r="D31" i="9" s="1"/>
  <c r="D32" i="9" s="1"/>
  <c r="D26" i="9"/>
  <c r="D27" i="9" s="1"/>
  <c r="D28" i="9" s="1"/>
  <c r="D29" i="9" s="1"/>
  <c r="L12" i="9"/>
  <c r="L13" i="9" s="1"/>
  <c r="L14" i="9" s="1"/>
  <c r="L15" i="9" s="1"/>
  <c r="L16" i="9" s="1"/>
  <c r="L17" i="9" s="1"/>
  <c r="L3" i="9"/>
  <c r="L4" i="9" s="1"/>
  <c r="L5" i="9" s="1"/>
  <c r="L6" i="9" s="1"/>
  <c r="L7" i="9" s="1"/>
  <c r="L8" i="9" s="1"/>
  <c r="L9" i="9" s="1"/>
  <c r="L10" i="9" s="1"/>
  <c r="L11" i="9" s="1"/>
  <c r="L2" i="9"/>
  <c r="H2" i="9"/>
  <c r="H3" i="9" s="1"/>
  <c r="H4" i="9" s="1"/>
  <c r="H5" i="9" s="1"/>
  <c r="H6" i="9" s="1"/>
  <c r="H7" i="9" s="1"/>
  <c r="H8" i="9" s="1"/>
  <c r="H9" i="9" s="1"/>
  <c r="H10" i="9" s="1"/>
  <c r="H11" i="9" s="1"/>
  <c r="H12" i="9" s="1"/>
  <c r="D2" i="9"/>
  <c r="D3" i="9" s="1"/>
  <c r="D4" i="9" s="1"/>
  <c r="D5" i="9" s="1"/>
  <c r="D6" i="9" s="1"/>
  <c r="D7" i="9" s="1"/>
  <c r="D8" i="9" s="1"/>
  <c r="D9" i="9" s="1"/>
  <c r="D10" i="9" s="1"/>
  <c r="D11" i="9" s="1"/>
  <c r="D12" i="9" s="1"/>
  <c r="D13" i="9" s="1"/>
  <c r="D14" i="9" s="1"/>
  <c r="D15" i="9" s="1"/>
  <c r="D25" i="9"/>
  <c r="D18" i="9"/>
  <c r="D19" i="9" s="1"/>
  <c r="D20" i="9" s="1"/>
  <c r="D21" i="9" s="1"/>
  <c r="D22" i="9" s="1"/>
  <c r="C15" i="8"/>
  <c r="C16" i="8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B33" i="3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20" i="1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12" i="5"/>
  <c r="D12" i="5"/>
  <c r="B19" i="4"/>
  <c r="B18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7" i="4"/>
  <c r="C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7" i="4"/>
  <c r="E12" i="4"/>
  <c r="E6" i="4"/>
  <c r="E7" i="4"/>
  <c r="E8" i="4"/>
  <c r="E9" i="4"/>
  <c r="E5" i="4"/>
  <c r="E2" i="4"/>
  <c r="A41" i="3"/>
  <c r="B41" i="3"/>
  <c r="C41" i="3"/>
  <c r="D41" i="3"/>
  <c r="D2" i="3" l="1"/>
  <c r="D5" i="3"/>
  <c r="D6" i="3"/>
  <c r="D7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4" i="3"/>
  <c r="B35" i="3"/>
  <c r="B36" i="3"/>
  <c r="B37" i="3"/>
  <c r="B38" i="3"/>
  <c r="B39" i="3"/>
  <c r="B40" i="3"/>
  <c r="B15" i="3"/>
  <c r="C10" i="8"/>
  <c r="C11" i="8" s="1"/>
  <c r="C12" i="8" s="1"/>
  <c r="C2" i="8"/>
  <c r="C3" i="8" s="1"/>
  <c r="C4" i="8" s="1"/>
  <c r="C5" i="8" s="1"/>
  <c r="C6" i="8" s="1"/>
  <c r="C7" i="8" s="1"/>
  <c r="C8" i="8" s="1"/>
  <c r="C9" i="8" s="1"/>
  <c r="C9" i="6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5" i="6"/>
  <c r="C6" i="6" s="1"/>
  <c r="C7" i="6" s="1"/>
  <c r="C8" i="6" s="1"/>
  <c r="C3" i="6"/>
  <c r="C4" i="6" s="1"/>
  <c r="C2" i="6"/>
  <c r="A13" i="5"/>
  <c r="D38" i="5"/>
  <c r="D39" i="5"/>
  <c r="D37" i="5" l="1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D7" i="5"/>
  <c r="D6" i="5"/>
  <c r="D5" i="5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A18" i="4" l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6" i="3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D10" i="3"/>
  <c r="D40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0" i="1"/>
  <c r="A21" i="1" l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D14" i="1"/>
  <c r="D15" i="1"/>
  <c r="D7" i="1" l="1"/>
  <c r="D8" i="1"/>
  <c r="D9" i="1"/>
  <c r="D10" i="1"/>
  <c r="D11" i="1"/>
  <c r="D5" i="1"/>
  <c r="D6" i="1"/>
  <c r="D2" i="1"/>
</calcChain>
</file>

<file path=xl/sharedStrings.xml><?xml version="1.0" encoding="utf-8"?>
<sst xmlns="http://schemas.openxmlformats.org/spreadsheetml/2006/main" count="808" uniqueCount="304">
  <si>
    <t>Signal bezuslovnog skoka</t>
  </si>
  <si>
    <t>CC[h]</t>
  </si>
  <si>
    <t>CC[b]</t>
  </si>
  <si>
    <t>bruncnd</t>
  </si>
  <si>
    <t>Signal uslovnog skoka</t>
  </si>
  <si>
    <t>brnotPSWSTARTandFETCH</t>
  </si>
  <si>
    <t>brbezadr1</t>
  </si>
  <si>
    <t>brjmp2</t>
  </si>
  <si>
    <t>bradr2</t>
  </si>
  <si>
    <t>brjmp3</t>
  </si>
  <si>
    <t>bradr3</t>
  </si>
  <si>
    <t>brnotFCBUS</t>
  </si>
  <si>
    <t>brgrinst</t>
  </si>
  <si>
    <t>brgradr</t>
  </si>
  <si>
    <t>Signali greške</t>
  </si>
  <si>
    <t>Adresa</t>
  </si>
  <si>
    <t>Sadržaj [h]</t>
  </si>
  <si>
    <t>ba[h]</t>
  </si>
  <si>
    <t>cc[h]</t>
  </si>
  <si>
    <t>Komentar</t>
  </si>
  <si>
    <t>ba</t>
  </si>
  <si>
    <t>cc</t>
  </si>
  <si>
    <t>ldMAR</t>
  </si>
  <si>
    <t>incPC</t>
  </si>
  <si>
    <t>rdMEM</t>
  </si>
  <si>
    <t>ldMDR</t>
  </si>
  <si>
    <t>ldIR31..24</t>
  </si>
  <si>
    <t>ldIR23.16</t>
  </si>
  <si>
    <t>ldIR15..8</t>
  </si>
  <si>
    <t>ldIR7..0</t>
  </si>
  <si>
    <t>clFETCH</t>
  </si>
  <si>
    <t>stADDR</t>
  </si>
  <si>
    <t>stEXEC</t>
  </si>
  <si>
    <t>0h</t>
  </si>
  <si>
    <t>brnotADDR</t>
  </si>
  <si>
    <t>Signal višestrukog uslovnog skoka</t>
  </si>
  <si>
    <t>clADDR</t>
  </si>
  <si>
    <t>mxMAR2</t>
  </si>
  <si>
    <t>wrGPR</t>
  </si>
  <si>
    <t>mxMAR1</t>
  </si>
  <si>
    <t>incMAR</t>
  </si>
  <si>
    <t>mxB1</t>
  </si>
  <si>
    <t>mxMAR0</t>
  </si>
  <si>
    <t>mxB0</t>
  </si>
  <si>
    <t>brSTOREorJSRorSTRLEN</t>
  </si>
  <si>
    <t>brnotEXEC</t>
  </si>
  <si>
    <t>bradr</t>
  </si>
  <si>
    <t>bropr</t>
  </si>
  <si>
    <t>brnotbrorjmp</t>
  </si>
  <si>
    <t>brregdir</t>
  </si>
  <si>
    <t>brzero</t>
  </si>
  <si>
    <t>clEXEC</t>
  </si>
  <si>
    <t>stINTR</t>
  </si>
  <si>
    <t>incA</t>
  </si>
  <si>
    <t>clA</t>
  </si>
  <si>
    <t>add</t>
  </si>
  <si>
    <t>xor</t>
  </si>
  <si>
    <t>and</t>
  </si>
  <si>
    <t>mxDW</t>
  </si>
  <si>
    <t>mxGPR</t>
  </si>
  <si>
    <t>clPSWI</t>
  </si>
  <si>
    <t>stPSWI</t>
  </si>
  <si>
    <t>wrMEM</t>
  </si>
  <si>
    <t>mxMDR0</t>
  </si>
  <si>
    <t>mxMDR1</t>
  </si>
  <si>
    <t>mxMDR2</t>
  </si>
  <si>
    <t>incSP</t>
  </si>
  <si>
    <t>ldA</t>
  </si>
  <si>
    <t>mxA0</t>
  </si>
  <si>
    <t>mxA1</t>
  </si>
  <si>
    <t>ldSTART</t>
  </si>
  <si>
    <t>ldI</t>
  </si>
  <si>
    <t>ldV</t>
  </si>
  <si>
    <t>ldZ</t>
  </si>
  <si>
    <t>ldC</t>
  </si>
  <si>
    <t>ldN</t>
  </si>
  <si>
    <t>ldPC</t>
  </si>
  <si>
    <t>mxPC0</t>
  </si>
  <si>
    <t>mxPC1</t>
  </si>
  <si>
    <t>ldDWL</t>
  </si>
  <si>
    <t>ldDWH</t>
  </si>
  <si>
    <t>decSP</t>
  </si>
  <si>
    <t>clPSWSTART</t>
  </si>
  <si>
    <t>brnotINTR</t>
  </si>
  <si>
    <t>stFETCH</t>
  </si>
  <si>
    <t>clINTR</t>
  </si>
  <si>
    <t>ldBR</t>
  </si>
  <si>
    <t>brnotprekid</t>
  </si>
  <si>
    <t>LD #1479</t>
  </si>
  <si>
    <t>1000h</t>
  </si>
  <si>
    <t>00</t>
  </si>
  <si>
    <t>79</t>
  </si>
  <si>
    <t>14</t>
  </si>
  <si>
    <t>31</t>
  </si>
  <si>
    <t>10</t>
  </si>
  <si>
    <t>01</t>
  </si>
  <si>
    <t>LD #FD</t>
  </si>
  <si>
    <t>LD</t>
  </si>
  <si>
    <t>ST 1</t>
  </si>
  <si>
    <t>immed</t>
  </si>
  <si>
    <t>LD #1</t>
  </si>
  <si>
    <t>FD</t>
  </si>
  <si>
    <t>ST R1</t>
  </si>
  <si>
    <t>LD 1</t>
  </si>
  <si>
    <t>ST</t>
  </si>
  <si>
    <t>ADD R1</t>
  </si>
  <si>
    <t>memdir</t>
  </si>
  <si>
    <t>JLEQ 1009</t>
  </si>
  <si>
    <t>HALT</t>
  </si>
  <si>
    <t>regdir, R1</t>
  </si>
  <si>
    <t>ADD</t>
  </si>
  <si>
    <t>JLEQ</t>
  </si>
  <si>
    <t>09</t>
  </si>
  <si>
    <t>ST 1025</t>
  </si>
  <si>
    <t>25</t>
  </si>
  <si>
    <t>INTD</t>
  </si>
  <si>
    <t>PUSHPSW</t>
  </si>
  <si>
    <t>POP</t>
  </si>
  <si>
    <t>LD #8001</t>
  </si>
  <si>
    <t>PUSH</t>
  </si>
  <si>
    <t>POPPSW</t>
  </si>
  <si>
    <t>LD #5959</t>
  </si>
  <si>
    <t>ST 0100</t>
  </si>
  <si>
    <t>LD #9595</t>
  </si>
  <si>
    <t>LD 0100</t>
  </si>
  <si>
    <t>XOR R1</t>
  </si>
  <si>
    <t>ST (0100)</t>
  </si>
  <si>
    <t>LD #0</t>
  </si>
  <si>
    <t>08</t>
  </si>
  <si>
    <t>03</t>
  </si>
  <si>
    <t>06</t>
  </si>
  <si>
    <t>30</t>
  </si>
  <si>
    <t>50</t>
  </si>
  <si>
    <t>80</t>
  </si>
  <si>
    <t>05</t>
  </si>
  <si>
    <t>04</t>
  </si>
  <si>
    <t>20</t>
  </si>
  <si>
    <t>JMP</t>
  </si>
  <si>
    <t>JMP 1050</t>
  </si>
  <si>
    <t>1050h</t>
  </si>
  <si>
    <t>59</t>
  </si>
  <si>
    <t>95</t>
  </si>
  <si>
    <t>22</t>
  </si>
  <si>
    <t>XOR</t>
  </si>
  <si>
    <t>34</t>
  </si>
  <si>
    <t>memind</t>
  </si>
  <si>
    <t>BNEQ</t>
  </si>
  <si>
    <t>13</t>
  </si>
  <si>
    <t>11</t>
  </si>
  <si>
    <t>ldB</t>
  </si>
  <si>
    <t>incB</t>
  </si>
  <si>
    <t>decB</t>
  </si>
  <si>
    <t>BNEQ 13</t>
  </si>
  <si>
    <t>LD #FFFF</t>
  </si>
  <si>
    <t>ST 0030</t>
  </si>
  <si>
    <t>FF</t>
  </si>
  <si>
    <t>JLSS</t>
  </si>
  <si>
    <t>1020h</t>
  </si>
  <si>
    <t xml:space="preserve">JLSS 1020 </t>
  </si>
  <si>
    <t>ADD 0030</t>
  </si>
  <si>
    <t>36</t>
  </si>
  <si>
    <t>12</t>
  </si>
  <si>
    <t>BLEQU</t>
  </si>
  <si>
    <t>BLEQU (PC)1A</t>
  </si>
  <si>
    <t>1A</t>
  </si>
  <si>
    <t>1040h</t>
  </si>
  <si>
    <t>1004h</t>
  </si>
  <si>
    <t>1008h</t>
  </si>
  <si>
    <t>100Ch</t>
  </si>
  <si>
    <t>1024h</t>
  </si>
  <si>
    <t>3000h</t>
  </si>
  <si>
    <t>32</t>
  </si>
  <si>
    <t>JSR</t>
  </si>
  <si>
    <t>STRLEN</t>
  </si>
  <si>
    <t>LD #6000</t>
  </si>
  <si>
    <t>60</t>
  </si>
  <si>
    <t>3004h</t>
  </si>
  <si>
    <t>ST R3</t>
  </si>
  <si>
    <t>26</t>
  </si>
  <si>
    <t>regdir, R3</t>
  </si>
  <si>
    <t>3006h</t>
  </si>
  <si>
    <t>35</t>
  </si>
  <si>
    <t>56</t>
  </si>
  <si>
    <t>postdec, R3</t>
  </si>
  <si>
    <t>3008h</t>
  </si>
  <si>
    <t>ST (R3)FD</t>
  </si>
  <si>
    <t>66</t>
  </si>
  <si>
    <t>regindpom, R3</t>
  </si>
  <si>
    <t>300Bh</t>
  </si>
  <si>
    <t>RTS</t>
  </si>
  <si>
    <t>6000h</t>
  </si>
  <si>
    <t>AA</t>
  </si>
  <si>
    <t>B6</t>
  </si>
  <si>
    <t>5F</t>
  </si>
  <si>
    <t>72</t>
  </si>
  <si>
    <t>0A</t>
  </si>
  <si>
    <t>17</t>
  </si>
  <si>
    <t>98</t>
  </si>
  <si>
    <t>C1</t>
  </si>
  <si>
    <t>DD</t>
  </si>
  <si>
    <t>E0</t>
  </si>
  <si>
    <t>51</t>
  </si>
  <si>
    <t>4A</t>
  </si>
  <si>
    <t>BD</t>
  </si>
  <si>
    <t>FE</t>
  </si>
  <si>
    <t>LD #FFEE</t>
  </si>
  <si>
    <t>ST 0070</t>
  </si>
  <si>
    <t>ST R4</t>
  </si>
  <si>
    <t>JSR 3000</t>
  </si>
  <si>
    <t>EE</t>
  </si>
  <si>
    <t>70</t>
  </si>
  <si>
    <t>1044h</t>
  </si>
  <si>
    <t>1048h</t>
  </si>
  <si>
    <t>28</t>
  </si>
  <si>
    <t>regdir, R4</t>
  </si>
  <si>
    <t>104Ch</t>
  </si>
  <si>
    <t>104Eh</t>
  </si>
  <si>
    <t>1052h</t>
  </si>
  <si>
    <t>TST</t>
  </si>
  <si>
    <t>LD (R3)FD</t>
  </si>
  <si>
    <t>33</t>
  </si>
  <si>
    <t>48</t>
  </si>
  <si>
    <t>preincr, R4</t>
  </si>
  <si>
    <t>JLEQ 2000</t>
  </si>
  <si>
    <t>2000h</t>
  </si>
  <si>
    <t>STRLEN (R3)-</t>
  </si>
  <si>
    <t>1055h</t>
  </si>
  <si>
    <t>1057h</t>
  </si>
  <si>
    <t>LD #0068</t>
  </si>
  <si>
    <t>68</t>
  </si>
  <si>
    <t>TST +(R4)</t>
  </si>
  <si>
    <t>LD #0011</t>
  </si>
  <si>
    <t>ST 0200</t>
  </si>
  <si>
    <t>TST 0200</t>
  </si>
  <si>
    <t>INTR4</t>
  </si>
  <si>
    <t>INTR3</t>
  </si>
  <si>
    <t>INTR2</t>
  </si>
  <si>
    <t>INTR7</t>
  </si>
  <si>
    <t>02</t>
  </si>
  <si>
    <t>BNEQ (PC)50</t>
  </si>
  <si>
    <t>1010h</t>
  </si>
  <si>
    <t>1012h</t>
  </si>
  <si>
    <t>1013h</t>
  </si>
  <si>
    <t>INTR0</t>
  </si>
  <si>
    <t>INTR1</t>
  </si>
  <si>
    <t>INTR5</t>
  </si>
  <si>
    <t>INTR6</t>
  </si>
  <si>
    <t>LD 0500</t>
  </si>
  <si>
    <t>ADD #1</t>
  </si>
  <si>
    <t>ST 0500</t>
  </si>
  <si>
    <t>INTE</t>
  </si>
  <si>
    <t>RTI</t>
  </si>
  <si>
    <t>2001h</t>
  </si>
  <si>
    <t>2005h</t>
  </si>
  <si>
    <t>2009h</t>
  </si>
  <si>
    <t>07</t>
  </si>
  <si>
    <t>200Dh</t>
  </si>
  <si>
    <t>200Eh</t>
  </si>
  <si>
    <t>0700h</t>
  </si>
  <si>
    <t>700h</t>
  </si>
  <si>
    <t>0C</t>
  </si>
  <si>
    <t>0F</t>
  </si>
  <si>
    <t>15</t>
  </si>
  <si>
    <t>JMP 2000</t>
  </si>
  <si>
    <t>JMP 2001</t>
  </si>
  <si>
    <t>JMP 2002</t>
  </si>
  <si>
    <t>JMP 2003</t>
  </si>
  <si>
    <t>JMP 2004</t>
  </si>
  <si>
    <t>JMP 2005</t>
  </si>
  <si>
    <t>JMP 2006</t>
  </si>
  <si>
    <t>JMP 2007</t>
  </si>
  <si>
    <t>0703h</t>
  </si>
  <si>
    <t>0706h</t>
  </si>
  <si>
    <t>0709h</t>
  </si>
  <si>
    <t>070Fh</t>
  </si>
  <si>
    <t>070Ch</t>
  </si>
  <si>
    <t>0712h</t>
  </si>
  <si>
    <t>0715h</t>
  </si>
  <si>
    <t>UEXT0</t>
  </si>
  <si>
    <t>UEXT1</t>
  </si>
  <si>
    <t>UEXT2</t>
  </si>
  <si>
    <t>UEXT3</t>
  </si>
  <si>
    <t>UEXT4</t>
  </si>
  <si>
    <t>UEXT5</t>
  </si>
  <si>
    <t>UEXT6</t>
  </si>
  <si>
    <t>UEXT7</t>
  </si>
  <si>
    <t>INTR2, INTR3</t>
  </si>
  <si>
    <t>LD #7FFF</t>
  </si>
  <si>
    <t>ADD #7FFF</t>
  </si>
  <si>
    <t>7F</t>
  </si>
  <si>
    <t>BOVF</t>
  </si>
  <si>
    <t>BOVF (PC)6</t>
  </si>
  <si>
    <t>LD #4000</t>
  </si>
  <si>
    <t>ST R2</t>
  </si>
  <si>
    <t>ST +(R2)</t>
  </si>
  <si>
    <t>40</t>
  </si>
  <si>
    <t>1015h</t>
  </si>
  <si>
    <t>1011h</t>
  </si>
  <si>
    <t>24</t>
  </si>
  <si>
    <t>regdir, R2</t>
  </si>
  <si>
    <t>1017h</t>
  </si>
  <si>
    <t>44</t>
  </si>
  <si>
    <t>preincr, R2</t>
  </si>
  <si>
    <t>1019h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</si>
</sst>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workbookViewId="0">
      <pane ySplit="19" topLeftCell="A20" activePane="bottomLeft" state="frozen"/>
      <selection pane="bottomLeft" sqref="A1:C1"/>
    </sheetView>
  </sheetViews>
  <sheetFormatPr defaultColWidth="8.88671875" defaultRowHeight="14.4" x14ac:dyDescent="0.3"/>
  <cols>
    <col min="1" max="1" width="8.88671875" style="1"/>
    <col min="2" max="2" width="11.109375" style="1" customWidth="1"/>
    <col min="3" max="16384" width="8.88671875" style="1"/>
  </cols>
  <sheetData>
    <row r="1" spans="1:8" x14ac:dyDescent="0.3">
      <c r="A1" s="43" t="s">
        <v>0</v>
      </c>
      <c r="B1" s="43"/>
      <c r="C1" s="43"/>
      <c r="D1" s="5" t="s">
        <v>1</v>
      </c>
      <c r="E1" s="43" t="s">
        <v>2</v>
      </c>
      <c r="F1" s="43"/>
      <c r="G1" s="43"/>
      <c r="H1" s="43"/>
    </row>
    <row r="2" spans="1:8" x14ac:dyDescent="0.3">
      <c r="A2" s="44" t="s">
        <v>3</v>
      </c>
      <c r="B2" s="44"/>
      <c r="C2" s="44"/>
      <c r="D2" s="2" t="str">
        <f>BIN2HEX(E2&amp;F2&amp;G2&amp;H2)</f>
        <v>1</v>
      </c>
      <c r="E2" s="2">
        <v>0</v>
      </c>
      <c r="F2" s="2">
        <v>0</v>
      </c>
      <c r="G2" s="2">
        <v>0</v>
      </c>
      <c r="H2" s="2">
        <v>1</v>
      </c>
    </row>
    <row r="4" spans="1:8" x14ac:dyDescent="0.3">
      <c r="A4" s="43" t="s">
        <v>4</v>
      </c>
      <c r="B4" s="43"/>
      <c r="C4" s="43"/>
      <c r="D4" s="5" t="s">
        <v>1</v>
      </c>
      <c r="E4" s="43" t="s">
        <v>2</v>
      </c>
      <c r="F4" s="43"/>
      <c r="G4" s="43"/>
      <c r="H4" s="43"/>
    </row>
    <row r="5" spans="1:8" x14ac:dyDescent="0.3">
      <c r="A5" s="44" t="s">
        <v>5</v>
      </c>
      <c r="B5" s="44"/>
      <c r="C5" s="44"/>
      <c r="D5" s="2" t="str">
        <f t="shared" ref="D5:D15" si="0">BIN2HEX(E5&amp;F5&amp;G5&amp;H5)</f>
        <v>2</v>
      </c>
      <c r="E5" s="2">
        <v>0</v>
      </c>
      <c r="F5" s="2">
        <v>0</v>
      </c>
      <c r="G5" s="2">
        <v>1</v>
      </c>
      <c r="H5" s="2">
        <v>0</v>
      </c>
    </row>
    <row r="6" spans="1:8" x14ac:dyDescent="0.3">
      <c r="A6" s="44" t="s">
        <v>6</v>
      </c>
      <c r="B6" s="44"/>
      <c r="C6" s="44"/>
      <c r="D6" s="2" t="str">
        <f t="shared" si="0"/>
        <v>3</v>
      </c>
      <c r="E6" s="2">
        <v>0</v>
      </c>
      <c r="F6" s="2">
        <v>0</v>
      </c>
      <c r="G6" s="2">
        <v>1</v>
      </c>
      <c r="H6" s="2">
        <v>1</v>
      </c>
    </row>
    <row r="7" spans="1:8" x14ac:dyDescent="0.3">
      <c r="A7" s="44" t="s">
        <v>7</v>
      </c>
      <c r="B7" s="44"/>
      <c r="C7" s="44"/>
      <c r="D7" s="2" t="str">
        <f t="shared" si="0"/>
        <v>4</v>
      </c>
      <c r="E7" s="2">
        <v>0</v>
      </c>
      <c r="F7" s="2">
        <v>1</v>
      </c>
      <c r="G7" s="2">
        <v>0</v>
      </c>
      <c r="H7" s="2">
        <v>0</v>
      </c>
    </row>
    <row r="8" spans="1:8" x14ac:dyDescent="0.3">
      <c r="A8" s="44" t="s">
        <v>8</v>
      </c>
      <c r="B8" s="44"/>
      <c r="C8" s="44"/>
      <c r="D8" s="2" t="str">
        <f t="shared" si="0"/>
        <v>5</v>
      </c>
      <c r="E8" s="2">
        <v>0</v>
      </c>
      <c r="F8" s="2">
        <v>1</v>
      </c>
      <c r="G8" s="2">
        <v>0</v>
      </c>
      <c r="H8" s="2">
        <v>1</v>
      </c>
    </row>
    <row r="9" spans="1:8" x14ac:dyDescent="0.3">
      <c r="A9" s="44" t="s">
        <v>9</v>
      </c>
      <c r="B9" s="44"/>
      <c r="C9" s="44"/>
      <c r="D9" s="2" t="str">
        <f t="shared" si="0"/>
        <v>6</v>
      </c>
      <c r="E9" s="2">
        <v>0</v>
      </c>
      <c r="F9" s="2">
        <v>1</v>
      </c>
      <c r="G9" s="2">
        <v>1</v>
      </c>
      <c r="H9" s="2">
        <v>0</v>
      </c>
    </row>
    <row r="10" spans="1:8" x14ac:dyDescent="0.3">
      <c r="A10" s="44" t="s">
        <v>10</v>
      </c>
      <c r="B10" s="44"/>
      <c r="C10" s="44"/>
      <c r="D10" s="2" t="str">
        <f t="shared" si="0"/>
        <v>7</v>
      </c>
      <c r="E10" s="2">
        <v>0</v>
      </c>
      <c r="F10" s="2">
        <v>1</v>
      </c>
      <c r="G10" s="2">
        <v>1</v>
      </c>
      <c r="H10" s="2">
        <v>1</v>
      </c>
    </row>
    <row r="11" spans="1:8" x14ac:dyDescent="0.3">
      <c r="A11" s="44" t="s">
        <v>11</v>
      </c>
      <c r="B11" s="44"/>
      <c r="C11" s="44"/>
      <c r="D11" s="2" t="str">
        <f t="shared" si="0"/>
        <v>8</v>
      </c>
      <c r="E11" s="2">
        <v>1</v>
      </c>
      <c r="F11" s="2">
        <v>0</v>
      </c>
      <c r="G11" s="2">
        <v>0</v>
      </c>
      <c r="H11" s="2">
        <v>0</v>
      </c>
    </row>
    <row r="13" spans="1:8" x14ac:dyDescent="0.3">
      <c r="A13" s="43" t="s">
        <v>14</v>
      </c>
      <c r="B13" s="43"/>
      <c r="C13" s="43"/>
      <c r="D13" s="5" t="s">
        <v>1</v>
      </c>
      <c r="E13" s="43" t="s">
        <v>2</v>
      </c>
      <c r="F13" s="43"/>
      <c r="G13" s="43"/>
      <c r="H13" s="43"/>
    </row>
    <row r="14" spans="1:8" x14ac:dyDescent="0.3">
      <c r="A14" s="44" t="s">
        <v>12</v>
      </c>
      <c r="B14" s="44"/>
      <c r="C14" s="44"/>
      <c r="D14" s="2" t="str">
        <f t="shared" si="0"/>
        <v>9</v>
      </c>
      <c r="E14" s="2">
        <v>1</v>
      </c>
      <c r="F14" s="2">
        <v>0</v>
      </c>
      <c r="G14" s="2">
        <v>0</v>
      </c>
      <c r="H14" s="2">
        <v>1</v>
      </c>
    </row>
    <row r="15" spans="1:8" x14ac:dyDescent="0.3">
      <c r="A15" s="44" t="s">
        <v>13</v>
      </c>
      <c r="B15" s="44"/>
      <c r="C15" s="44"/>
      <c r="D15" s="2" t="str">
        <f t="shared" si="0"/>
        <v>A</v>
      </c>
      <c r="E15" s="2">
        <v>1</v>
      </c>
      <c r="F15" s="2">
        <v>0</v>
      </c>
      <c r="G15" s="2">
        <v>1</v>
      </c>
      <c r="H15" s="2">
        <v>0</v>
      </c>
    </row>
    <row r="18" spans="1:29" x14ac:dyDescent="0.3">
      <c r="A18" s="43" t="s">
        <v>15</v>
      </c>
      <c r="B18" s="43" t="s">
        <v>16</v>
      </c>
      <c r="C18" s="43" t="s">
        <v>17</v>
      </c>
      <c r="D18" s="43" t="s">
        <v>18</v>
      </c>
      <c r="E18" s="46" t="s">
        <v>19</v>
      </c>
      <c r="F18" s="11">
        <v>23</v>
      </c>
      <c r="G18" s="5">
        <v>22</v>
      </c>
      <c r="H18" s="5">
        <v>21</v>
      </c>
      <c r="I18" s="5">
        <v>20</v>
      </c>
      <c r="J18" s="32">
        <v>19</v>
      </c>
      <c r="K18" s="12">
        <v>18</v>
      </c>
      <c r="L18" s="11">
        <v>17</v>
      </c>
      <c r="M18" s="5">
        <v>16</v>
      </c>
      <c r="N18" s="5">
        <v>15</v>
      </c>
      <c r="O18" s="12">
        <v>14</v>
      </c>
      <c r="P18" s="37">
        <v>13</v>
      </c>
      <c r="Q18" s="31">
        <v>12</v>
      </c>
      <c r="R18" s="31">
        <v>11</v>
      </c>
      <c r="S18" s="31">
        <v>10</v>
      </c>
      <c r="T18" s="5">
        <v>9</v>
      </c>
      <c r="U18" s="5">
        <v>8</v>
      </c>
      <c r="V18" s="5">
        <v>7</v>
      </c>
      <c r="W18" s="5">
        <v>6</v>
      </c>
      <c r="X18" s="5">
        <v>5</v>
      </c>
      <c r="Y18" s="5">
        <v>4</v>
      </c>
      <c r="Z18" s="5">
        <v>3</v>
      </c>
      <c r="AA18" s="5">
        <v>2</v>
      </c>
      <c r="AB18" s="5">
        <v>1</v>
      </c>
      <c r="AC18" s="5">
        <v>0</v>
      </c>
    </row>
    <row r="19" spans="1:29" x14ac:dyDescent="0.3">
      <c r="A19" s="43"/>
      <c r="B19" s="43"/>
      <c r="C19" s="43"/>
      <c r="D19" s="43"/>
      <c r="E19" s="46"/>
      <c r="F19" s="45" t="s">
        <v>20</v>
      </c>
      <c r="G19" s="43"/>
      <c r="H19" s="43"/>
      <c r="I19" s="43"/>
      <c r="J19" s="46"/>
      <c r="K19" s="47"/>
      <c r="L19" s="45" t="s">
        <v>21</v>
      </c>
      <c r="M19" s="43"/>
      <c r="N19" s="43"/>
      <c r="O19" s="47"/>
      <c r="P19" s="37"/>
      <c r="Q19" s="31"/>
      <c r="R19" s="31"/>
      <c r="S19" s="8" t="s">
        <v>32</v>
      </c>
      <c r="T19" s="5" t="s">
        <v>31</v>
      </c>
      <c r="U19" s="5" t="s">
        <v>30</v>
      </c>
      <c r="V19" s="5" t="s">
        <v>29</v>
      </c>
      <c r="W19" s="5" t="s">
        <v>28</v>
      </c>
      <c r="X19" s="5" t="s">
        <v>27</v>
      </c>
      <c r="Y19" s="5" t="s">
        <v>26</v>
      </c>
      <c r="Z19" s="5" t="s">
        <v>25</v>
      </c>
      <c r="AA19" s="5" t="s">
        <v>24</v>
      </c>
      <c r="AB19" s="5" t="s">
        <v>23</v>
      </c>
      <c r="AC19" s="5" t="s">
        <v>22</v>
      </c>
    </row>
    <row r="20" spans="1:29" x14ac:dyDescent="0.3">
      <c r="A20" s="2" t="s">
        <v>33</v>
      </c>
      <c r="B20" s="2" t="str">
        <f>BIN2HEX(
IF(ISBLANK(F20),0,F20) &amp;
IF(ISBLANK(G20),0,G20)&amp;
IF(ISBLANK(H20),0,H20)&amp;
IF(ISBLANK(I20),0,I20),1)&amp;
BIN2HEX(
IF(ISBLANK(J20),0,J20) &amp;
IF(ISBLANK(K20),0,K20)&amp;
IF(ISBLANK(L20),0,L20)&amp;
IF(ISBLANK(M20),0,M20)&amp;
IF(ISBLANK(N20),0,N20) &amp;
IF(ISBLANK(O20),0,O20)&amp;
IF(ISBLANK(P20),0,P20) &amp;
IF(ISBLANK(Q20),0,Q20),2)&amp;
BIN2HEX(
IF(ISBLANK(R20),0,R20) &amp;
IF(ISBLANK(S20),0,S20)&amp;
IF(ISBLANK(T20),0,T20)&amp;
IF(ISBLANK(U20),0,U20)&amp;
IF(ISBLANK(V20),0,V20) &amp;
IF(ISBLANK(W20),0,W20)&amp;
IF(ISBLANK(X20),0,X20) &amp;
IF(ISBLANK(Y20),0,Y20),2)&amp;
BIN2HEX(
IF(ISBLANK(Z20),0,Z20) &amp;
IF(ISBLANK(AA20),0,AA20)&amp;
IF(ISBLANK(AB20),0,AB20)&amp;
IF(ISBLANK(AC20),0,AC20),1)</f>
        <v>008000</v>
      </c>
      <c r="C20" s="2" t="str">
        <f>BIN2HEX(
IF(ISBLANK(F20),0,F20) &amp;
IF(ISBLANK(G20),0,G20)&amp;
IF(ISBLANK(H20),0,H20)&amp;
IF(ISBLANK(I20),0,I20)&amp;
IF(ISBLANK(J20),0,J20)&amp;
IF(ISBLANK(K20),0,K20))</f>
        <v>0</v>
      </c>
      <c r="D20" s="2" t="str">
        <f>BIN2HEX(
IF(ISBLANK(L20),0,L20) &amp;
IF(ISBLANK(M20),0,M20)&amp;
IF(ISBLANK(N20),0,N20)&amp;
IF(ISBLANK(O20),0,O20))</f>
        <v>2</v>
      </c>
      <c r="E20" s="3"/>
      <c r="F20" s="9">
        <v>0</v>
      </c>
      <c r="G20" s="2">
        <v>0</v>
      </c>
      <c r="H20" s="2">
        <v>0</v>
      </c>
      <c r="I20" s="2">
        <v>0</v>
      </c>
      <c r="J20" s="34">
        <v>0</v>
      </c>
      <c r="K20" s="10">
        <v>0</v>
      </c>
      <c r="L20" s="9">
        <v>0</v>
      </c>
      <c r="M20" s="2">
        <v>0</v>
      </c>
      <c r="N20" s="2">
        <v>1</v>
      </c>
      <c r="O20" s="10">
        <v>0</v>
      </c>
      <c r="P20" s="35">
        <v>0</v>
      </c>
      <c r="Q20" s="33">
        <v>0</v>
      </c>
      <c r="R20" s="33">
        <v>0</v>
      </c>
      <c r="S20" s="4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x14ac:dyDescent="0.3">
      <c r="A21" s="2" t="str">
        <f>DEC2HEX(HEX2DEC(LEFT(A20,LEN(A20)-1))+1)&amp;"h"</f>
        <v>1h</v>
      </c>
      <c r="B21" s="33" t="str">
        <f t="shared" ref="B21:B40" si="1">BIN2HEX(
IF(ISBLANK(F21),0,F21) &amp;
IF(ISBLANK(G21),0,G21)&amp;
IF(ISBLANK(H21),0,H21)&amp;
IF(ISBLANK(I21),0,I21),1)&amp;
BIN2HEX(
IF(ISBLANK(J21),0,J21) &amp;
IF(ISBLANK(K21),0,K21)&amp;
IF(ISBLANK(L21),0,L21)&amp;
IF(ISBLANK(M21),0,M21)&amp;
IF(ISBLANK(N21),0,N21) &amp;
IF(ISBLANK(O21),0,O21)&amp;
IF(ISBLANK(P21),0,P21) &amp;
IF(ISBLANK(Q21),0,Q21),2)&amp;
BIN2HEX(
IF(ISBLANK(R21),0,R21) &amp;
IF(ISBLANK(S21),0,S21)&amp;
IF(ISBLANK(T21),0,T21)&amp;
IF(ISBLANK(U21),0,U21)&amp;
IF(ISBLANK(V21),0,V21) &amp;
IF(ISBLANK(W21),0,W21)&amp;
IF(ISBLANK(X21),0,X21) &amp;
IF(ISBLANK(Y21),0,Y21),2)&amp;
BIN2HEX(
IF(ISBLANK(Z21),0,Z21) &amp;
IF(ISBLANK(AA21),0,AA21)&amp;
IF(ISBLANK(AB21),0,AB21)&amp;
IF(ISBLANK(AC21),0,AC21),1)</f>
        <v>000003</v>
      </c>
      <c r="C21" s="33" t="str">
        <f t="shared" ref="C21:C40" si="2">BIN2HEX(
IF(ISBLANK(F21),0,F21) &amp;
IF(ISBLANK(G21),0,G21)&amp;
IF(ISBLANK(H21),0,H21)&amp;
IF(ISBLANK(I21),0,I21)&amp;
IF(ISBLANK(J21),0,J21)&amp;
IF(ISBLANK(K21),0,K21))</f>
        <v>0</v>
      </c>
      <c r="D21" s="2" t="str">
        <f t="shared" ref="D21:D40" si="3">BIN2HEX(
IF(ISBLANK(L21),0,L21) &amp;
IF(ISBLANK(M21),0,M21)&amp;
IF(ISBLANK(N21),0,N21)&amp;
IF(ISBLANK(O21),0,O21))</f>
        <v>0</v>
      </c>
      <c r="E21" s="3"/>
      <c r="F21" s="9">
        <v>0</v>
      </c>
      <c r="G21" s="2">
        <v>0</v>
      </c>
      <c r="H21" s="2">
        <v>0</v>
      </c>
      <c r="I21" s="2">
        <v>0</v>
      </c>
      <c r="J21" s="34">
        <v>0</v>
      </c>
      <c r="K21" s="10">
        <v>0</v>
      </c>
      <c r="L21" s="9">
        <v>0</v>
      </c>
      <c r="M21" s="2">
        <v>0</v>
      </c>
      <c r="N21" s="2">
        <v>0</v>
      </c>
      <c r="O21" s="10">
        <v>0</v>
      </c>
      <c r="P21" s="35">
        <v>0</v>
      </c>
      <c r="Q21" s="33">
        <v>0</v>
      </c>
      <c r="R21" s="33">
        <v>0</v>
      </c>
      <c r="S21" s="4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1</v>
      </c>
      <c r="AC21" s="2">
        <v>1</v>
      </c>
    </row>
    <row r="22" spans="1:29" x14ac:dyDescent="0.3">
      <c r="A22" s="2" t="str">
        <f t="shared" ref="A22:A33" si="4">DEC2HEX(HEX2DEC(LEFT(A21,LEN(A21)-1))+1)&amp;"h"</f>
        <v>2h</v>
      </c>
      <c r="B22" s="33" t="str">
        <f t="shared" si="1"/>
        <v>0A000C</v>
      </c>
      <c r="C22" s="33" t="str">
        <f t="shared" si="2"/>
        <v>2</v>
      </c>
      <c r="D22" s="2" t="str">
        <f t="shared" si="3"/>
        <v>8</v>
      </c>
      <c r="E22" s="3"/>
      <c r="F22" s="9">
        <v>0</v>
      </c>
      <c r="G22" s="2">
        <v>0</v>
      </c>
      <c r="H22" s="2">
        <v>0</v>
      </c>
      <c r="I22" s="2">
        <v>0</v>
      </c>
      <c r="J22" s="34">
        <v>1</v>
      </c>
      <c r="K22" s="10">
        <v>0</v>
      </c>
      <c r="L22" s="9">
        <v>1</v>
      </c>
      <c r="M22" s="2">
        <v>0</v>
      </c>
      <c r="N22" s="2">
        <v>0</v>
      </c>
      <c r="O22" s="10">
        <v>0</v>
      </c>
      <c r="P22" s="35">
        <v>0</v>
      </c>
      <c r="Q22" s="33">
        <v>0</v>
      </c>
      <c r="R22" s="33">
        <v>0</v>
      </c>
      <c r="S22" s="4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1</v>
      </c>
      <c r="AA22" s="2">
        <v>1</v>
      </c>
      <c r="AB22" s="2">
        <v>0</v>
      </c>
      <c r="AC22" s="2">
        <v>0</v>
      </c>
    </row>
    <row r="23" spans="1:29" x14ac:dyDescent="0.3">
      <c r="A23" s="2" t="str">
        <f t="shared" si="4"/>
        <v>3h</v>
      </c>
      <c r="B23" s="33" t="str">
        <f t="shared" si="1"/>
        <v>000010</v>
      </c>
      <c r="C23" s="33" t="str">
        <f t="shared" si="2"/>
        <v>0</v>
      </c>
      <c r="D23" s="2" t="str">
        <f t="shared" si="3"/>
        <v>0</v>
      </c>
      <c r="E23" s="3"/>
      <c r="F23" s="9">
        <v>0</v>
      </c>
      <c r="G23" s="2">
        <v>0</v>
      </c>
      <c r="H23" s="2">
        <v>0</v>
      </c>
      <c r="I23" s="2">
        <v>0</v>
      </c>
      <c r="J23" s="34">
        <v>0</v>
      </c>
      <c r="K23" s="10">
        <v>0</v>
      </c>
      <c r="L23" s="9">
        <v>0</v>
      </c>
      <c r="M23" s="2">
        <v>0</v>
      </c>
      <c r="N23" s="2">
        <v>0</v>
      </c>
      <c r="O23" s="10">
        <v>0</v>
      </c>
      <c r="P23" s="35">
        <v>0</v>
      </c>
      <c r="Q23" s="33">
        <v>0</v>
      </c>
      <c r="R23" s="33">
        <v>0</v>
      </c>
      <c r="S23" s="4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</row>
    <row r="24" spans="1:29" x14ac:dyDescent="0.3">
      <c r="A24" s="2" t="str">
        <f t="shared" si="4"/>
        <v>4h</v>
      </c>
      <c r="B24" s="33" t="str">
        <f t="shared" si="1"/>
        <v>024000</v>
      </c>
      <c r="C24" s="33" t="str">
        <f t="shared" si="2"/>
        <v>0</v>
      </c>
      <c r="D24" s="2" t="str">
        <f t="shared" si="3"/>
        <v>9</v>
      </c>
      <c r="E24" s="3"/>
      <c r="F24" s="9">
        <v>0</v>
      </c>
      <c r="G24" s="2">
        <v>0</v>
      </c>
      <c r="H24" s="2">
        <v>0</v>
      </c>
      <c r="I24" s="2">
        <v>0</v>
      </c>
      <c r="J24" s="34">
        <v>0</v>
      </c>
      <c r="K24" s="10">
        <v>0</v>
      </c>
      <c r="L24" s="9">
        <v>1</v>
      </c>
      <c r="M24" s="2">
        <v>0</v>
      </c>
      <c r="N24" s="2">
        <v>0</v>
      </c>
      <c r="O24" s="10">
        <v>1</v>
      </c>
      <c r="P24" s="35">
        <v>0</v>
      </c>
      <c r="Q24" s="33">
        <v>0</v>
      </c>
      <c r="R24" s="33">
        <v>0</v>
      </c>
      <c r="S24" s="4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x14ac:dyDescent="0.3">
      <c r="A25" s="2" t="str">
        <f t="shared" si="4"/>
        <v>5h</v>
      </c>
      <c r="B25" s="33" t="str">
        <f t="shared" si="1"/>
        <v>50C000</v>
      </c>
      <c r="C25" s="33" t="str">
        <f t="shared" si="2"/>
        <v>14</v>
      </c>
      <c r="D25" s="2" t="str">
        <f t="shared" si="3"/>
        <v>3</v>
      </c>
      <c r="E25" s="3"/>
      <c r="F25" s="9">
        <v>0</v>
      </c>
      <c r="G25" s="2">
        <v>1</v>
      </c>
      <c r="H25" s="2">
        <v>0</v>
      </c>
      <c r="I25" s="2">
        <v>1</v>
      </c>
      <c r="J25" s="34">
        <v>0</v>
      </c>
      <c r="K25" s="10">
        <v>0</v>
      </c>
      <c r="L25" s="9">
        <v>0</v>
      </c>
      <c r="M25" s="2">
        <v>0</v>
      </c>
      <c r="N25" s="2">
        <v>1</v>
      </c>
      <c r="O25" s="10">
        <v>1</v>
      </c>
      <c r="P25" s="35">
        <v>0</v>
      </c>
      <c r="Q25" s="33">
        <v>0</v>
      </c>
      <c r="R25" s="33">
        <v>0</v>
      </c>
      <c r="S25" s="4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x14ac:dyDescent="0.3">
      <c r="A26" s="2" t="str">
        <f t="shared" si="4"/>
        <v>6h</v>
      </c>
      <c r="B26" s="33" t="str">
        <f t="shared" si="1"/>
        <v>000003</v>
      </c>
      <c r="C26" s="33" t="str">
        <f t="shared" si="2"/>
        <v>0</v>
      </c>
      <c r="D26" s="2" t="str">
        <f t="shared" si="3"/>
        <v>0</v>
      </c>
      <c r="E26" s="3"/>
      <c r="F26" s="9">
        <v>0</v>
      </c>
      <c r="G26" s="2">
        <v>0</v>
      </c>
      <c r="H26" s="2">
        <v>0</v>
      </c>
      <c r="I26" s="2">
        <v>0</v>
      </c>
      <c r="J26" s="34">
        <v>0</v>
      </c>
      <c r="K26" s="10">
        <v>0</v>
      </c>
      <c r="L26" s="9">
        <v>0</v>
      </c>
      <c r="M26" s="2">
        <v>0</v>
      </c>
      <c r="N26" s="2">
        <v>0</v>
      </c>
      <c r="O26" s="10">
        <v>0</v>
      </c>
      <c r="P26" s="35">
        <v>0</v>
      </c>
      <c r="Q26" s="33">
        <v>0</v>
      </c>
      <c r="R26" s="33">
        <v>0</v>
      </c>
      <c r="S26" s="4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1</v>
      </c>
      <c r="AC26" s="2">
        <v>1</v>
      </c>
    </row>
    <row r="27" spans="1:29" x14ac:dyDescent="0.3">
      <c r="A27" s="2" t="str">
        <f t="shared" si="4"/>
        <v>7h</v>
      </c>
      <c r="B27" s="33" t="str">
        <f t="shared" si="1"/>
        <v>1E000C</v>
      </c>
      <c r="C27" s="33" t="str">
        <f t="shared" si="2"/>
        <v>7</v>
      </c>
      <c r="D27" s="2" t="str">
        <f t="shared" si="3"/>
        <v>8</v>
      </c>
      <c r="E27" s="3"/>
      <c r="F27" s="9">
        <v>0</v>
      </c>
      <c r="G27" s="2">
        <v>0</v>
      </c>
      <c r="H27" s="2">
        <v>0</v>
      </c>
      <c r="I27" s="2">
        <v>1</v>
      </c>
      <c r="J27" s="34">
        <v>1</v>
      </c>
      <c r="K27" s="10">
        <v>1</v>
      </c>
      <c r="L27" s="9">
        <v>1</v>
      </c>
      <c r="M27" s="2">
        <v>0</v>
      </c>
      <c r="N27" s="2">
        <v>0</v>
      </c>
      <c r="O27" s="10">
        <v>0</v>
      </c>
      <c r="P27" s="35">
        <v>0</v>
      </c>
      <c r="Q27" s="33">
        <v>0</v>
      </c>
      <c r="R27" s="33">
        <v>0</v>
      </c>
      <c r="S27" s="4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</row>
    <row r="28" spans="1:29" x14ac:dyDescent="0.3">
      <c r="A28" s="2" t="str">
        <f t="shared" si="4"/>
        <v>8h</v>
      </c>
      <c r="B28" s="33" t="str">
        <f t="shared" si="1"/>
        <v>000020</v>
      </c>
      <c r="C28" s="33" t="str">
        <f t="shared" si="2"/>
        <v>0</v>
      </c>
      <c r="D28" s="2" t="str">
        <f t="shared" si="3"/>
        <v>0</v>
      </c>
      <c r="E28" s="3"/>
      <c r="F28" s="9">
        <v>0</v>
      </c>
      <c r="G28" s="2">
        <v>0</v>
      </c>
      <c r="H28" s="2">
        <v>0</v>
      </c>
      <c r="I28" s="2">
        <v>0</v>
      </c>
      <c r="J28" s="34">
        <v>0</v>
      </c>
      <c r="K28" s="10">
        <v>0</v>
      </c>
      <c r="L28" s="9">
        <v>0</v>
      </c>
      <c r="M28" s="2">
        <v>0</v>
      </c>
      <c r="N28" s="2">
        <v>0</v>
      </c>
      <c r="O28" s="10">
        <v>0</v>
      </c>
      <c r="P28" s="35">
        <v>0</v>
      </c>
      <c r="Q28" s="33">
        <v>0</v>
      </c>
      <c r="R28" s="33">
        <v>0</v>
      </c>
      <c r="S28" s="4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x14ac:dyDescent="0.3">
      <c r="A29" s="2" t="str">
        <f t="shared" si="4"/>
        <v>9h</v>
      </c>
      <c r="B29" s="33" t="str">
        <f t="shared" si="1"/>
        <v>028000</v>
      </c>
      <c r="C29" s="33" t="str">
        <f t="shared" si="2"/>
        <v>0</v>
      </c>
      <c r="D29" s="2" t="str">
        <f t="shared" si="3"/>
        <v>A</v>
      </c>
      <c r="E29" s="3"/>
      <c r="F29" s="9">
        <v>0</v>
      </c>
      <c r="G29" s="2">
        <v>0</v>
      </c>
      <c r="H29" s="2">
        <v>0</v>
      </c>
      <c r="I29" s="2">
        <v>0</v>
      </c>
      <c r="J29" s="34">
        <v>0</v>
      </c>
      <c r="K29" s="10">
        <v>0</v>
      </c>
      <c r="L29" s="9">
        <v>1</v>
      </c>
      <c r="M29" s="2">
        <v>0</v>
      </c>
      <c r="N29" s="2">
        <v>1</v>
      </c>
      <c r="O29" s="10">
        <v>0</v>
      </c>
      <c r="P29" s="35">
        <v>0</v>
      </c>
      <c r="Q29" s="33">
        <v>0</v>
      </c>
      <c r="R29" s="33">
        <v>0</v>
      </c>
      <c r="S29" s="4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x14ac:dyDescent="0.3">
      <c r="A30" s="2" t="str">
        <f t="shared" si="4"/>
        <v>Ah</v>
      </c>
      <c r="B30" s="33" t="str">
        <f t="shared" si="1"/>
        <v>510000</v>
      </c>
      <c r="C30" s="33" t="str">
        <f t="shared" si="2"/>
        <v>14</v>
      </c>
      <c r="D30" s="2" t="str">
        <f t="shared" si="3"/>
        <v>4</v>
      </c>
      <c r="E30" s="3"/>
      <c r="F30" s="9">
        <v>0</v>
      </c>
      <c r="G30" s="2">
        <v>1</v>
      </c>
      <c r="H30" s="2">
        <v>0</v>
      </c>
      <c r="I30" s="2">
        <v>1</v>
      </c>
      <c r="J30" s="34">
        <v>0</v>
      </c>
      <c r="K30" s="10">
        <v>0</v>
      </c>
      <c r="L30" s="9">
        <v>0</v>
      </c>
      <c r="M30" s="2">
        <v>1</v>
      </c>
      <c r="N30" s="2">
        <v>0</v>
      </c>
      <c r="O30" s="10">
        <v>0</v>
      </c>
      <c r="P30" s="35">
        <v>0</v>
      </c>
      <c r="Q30" s="33">
        <v>0</v>
      </c>
      <c r="R30" s="33">
        <v>0</v>
      </c>
      <c r="S30" s="4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 x14ac:dyDescent="0.3">
      <c r="A31" s="2" t="str">
        <f t="shared" si="4"/>
        <v>Bh</v>
      </c>
      <c r="B31" s="33" t="str">
        <f t="shared" si="1"/>
        <v>4D4000</v>
      </c>
      <c r="C31" s="33" t="str">
        <f t="shared" si="2"/>
        <v>13</v>
      </c>
      <c r="D31" s="2" t="str">
        <f t="shared" si="3"/>
        <v>5</v>
      </c>
      <c r="E31" s="3"/>
      <c r="F31" s="9">
        <v>0</v>
      </c>
      <c r="G31" s="2">
        <v>1</v>
      </c>
      <c r="H31" s="2">
        <v>0</v>
      </c>
      <c r="I31" s="2">
        <v>0</v>
      </c>
      <c r="J31" s="34">
        <v>1</v>
      </c>
      <c r="K31" s="10">
        <v>1</v>
      </c>
      <c r="L31" s="9">
        <v>0</v>
      </c>
      <c r="M31" s="2">
        <v>1</v>
      </c>
      <c r="N31" s="2">
        <v>0</v>
      </c>
      <c r="O31" s="10">
        <v>1</v>
      </c>
      <c r="P31" s="35">
        <v>0</v>
      </c>
      <c r="Q31" s="33">
        <v>0</v>
      </c>
      <c r="R31" s="33">
        <v>0</v>
      </c>
      <c r="S31" s="4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x14ac:dyDescent="0.3">
      <c r="A32" s="2" t="str">
        <f t="shared" si="4"/>
        <v>Ch</v>
      </c>
      <c r="B32" s="33" t="str">
        <f t="shared" si="1"/>
        <v>000003</v>
      </c>
      <c r="C32" s="33" t="str">
        <f t="shared" si="2"/>
        <v>0</v>
      </c>
      <c r="D32" s="2" t="str">
        <f t="shared" si="3"/>
        <v>0</v>
      </c>
      <c r="E32" s="3"/>
      <c r="F32" s="9">
        <v>0</v>
      </c>
      <c r="G32" s="2">
        <v>0</v>
      </c>
      <c r="H32" s="2">
        <v>0</v>
      </c>
      <c r="I32" s="2">
        <v>0</v>
      </c>
      <c r="J32" s="34">
        <v>0</v>
      </c>
      <c r="K32" s="10">
        <v>0</v>
      </c>
      <c r="L32" s="9">
        <v>0</v>
      </c>
      <c r="M32" s="2">
        <v>0</v>
      </c>
      <c r="N32" s="2">
        <v>0</v>
      </c>
      <c r="O32" s="10">
        <v>0</v>
      </c>
      <c r="P32" s="35">
        <v>0</v>
      </c>
      <c r="Q32" s="33">
        <v>0</v>
      </c>
      <c r="R32" s="33">
        <v>0</v>
      </c>
      <c r="S32" s="4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1</v>
      </c>
      <c r="AC32" s="2">
        <v>1</v>
      </c>
    </row>
    <row r="33" spans="1:29" x14ac:dyDescent="0.3">
      <c r="A33" s="2" t="str">
        <f t="shared" si="4"/>
        <v>Dh</v>
      </c>
      <c r="B33" s="33" t="str">
        <f t="shared" si="1"/>
        <v>36000C</v>
      </c>
      <c r="C33" s="33" t="str">
        <f t="shared" si="2"/>
        <v>D</v>
      </c>
      <c r="D33" s="2" t="str">
        <f t="shared" si="3"/>
        <v>8</v>
      </c>
      <c r="E33" s="3"/>
      <c r="F33" s="9">
        <v>0</v>
      </c>
      <c r="G33" s="2">
        <v>0</v>
      </c>
      <c r="H33" s="2">
        <v>1</v>
      </c>
      <c r="I33" s="2">
        <v>1</v>
      </c>
      <c r="J33" s="34">
        <v>0</v>
      </c>
      <c r="K33" s="10">
        <v>1</v>
      </c>
      <c r="L33" s="9">
        <v>1</v>
      </c>
      <c r="M33" s="2">
        <v>0</v>
      </c>
      <c r="N33" s="2">
        <v>0</v>
      </c>
      <c r="O33" s="10">
        <v>0</v>
      </c>
      <c r="P33" s="35">
        <v>0</v>
      </c>
      <c r="Q33" s="33">
        <v>0</v>
      </c>
      <c r="R33" s="33">
        <v>0</v>
      </c>
      <c r="S33" s="4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</v>
      </c>
      <c r="AA33" s="2">
        <v>1</v>
      </c>
      <c r="AB33" s="2">
        <v>0</v>
      </c>
      <c r="AC33" s="2">
        <v>0</v>
      </c>
    </row>
    <row r="34" spans="1:29" x14ac:dyDescent="0.3">
      <c r="A34" s="2" t="str">
        <f>DEC2HEX(HEX2DEC(LEFT(A33,LEN(A33)-1))+1)&amp;"h"</f>
        <v>Eh</v>
      </c>
      <c r="B34" s="33" t="str">
        <f t="shared" si="1"/>
        <v>518040</v>
      </c>
      <c r="C34" s="33" t="str">
        <f t="shared" si="2"/>
        <v>14</v>
      </c>
      <c r="D34" s="2" t="str">
        <f t="shared" si="3"/>
        <v>6</v>
      </c>
      <c r="E34" s="3"/>
      <c r="F34" s="9">
        <v>0</v>
      </c>
      <c r="G34" s="2">
        <v>1</v>
      </c>
      <c r="H34" s="2">
        <v>0</v>
      </c>
      <c r="I34" s="2">
        <v>1</v>
      </c>
      <c r="J34" s="34">
        <v>0</v>
      </c>
      <c r="K34" s="10">
        <v>0</v>
      </c>
      <c r="L34" s="9">
        <v>0</v>
      </c>
      <c r="M34" s="2">
        <v>1</v>
      </c>
      <c r="N34" s="2">
        <v>1</v>
      </c>
      <c r="O34" s="10">
        <v>0</v>
      </c>
      <c r="P34" s="35">
        <v>0</v>
      </c>
      <c r="Q34" s="33">
        <v>0</v>
      </c>
      <c r="R34" s="33">
        <v>0</v>
      </c>
      <c r="S34" s="4">
        <v>0</v>
      </c>
      <c r="T34" s="2">
        <v>0</v>
      </c>
      <c r="U34" s="2">
        <v>0</v>
      </c>
      <c r="V34" s="2">
        <v>0</v>
      </c>
      <c r="W34" s="2">
        <v>1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 x14ac:dyDescent="0.3">
      <c r="A35" s="2" t="str">
        <f>DEC2HEX(HEX2DEC(LEFT(A34,LEN(A34)-1))+1)&amp;"h"</f>
        <v>Fh</v>
      </c>
      <c r="B35" s="33" t="str">
        <f t="shared" si="1"/>
        <v>4DC000</v>
      </c>
      <c r="C35" s="33" t="str">
        <f t="shared" si="2"/>
        <v>13</v>
      </c>
      <c r="D35" s="2" t="str">
        <f t="shared" si="3"/>
        <v>7</v>
      </c>
      <c r="E35" s="3"/>
      <c r="F35" s="9">
        <v>0</v>
      </c>
      <c r="G35" s="2">
        <v>1</v>
      </c>
      <c r="H35" s="2">
        <v>0</v>
      </c>
      <c r="I35" s="2">
        <v>0</v>
      </c>
      <c r="J35" s="34">
        <v>1</v>
      </c>
      <c r="K35" s="10">
        <v>1</v>
      </c>
      <c r="L35" s="9">
        <v>0</v>
      </c>
      <c r="M35" s="2">
        <v>1</v>
      </c>
      <c r="N35" s="2">
        <v>1</v>
      </c>
      <c r="O35" s="10">
        <v>1</v>
      </c>
      <c r="P35" s="35">
        <v>0</v>
      </c>
      <c r="Q35" s="33">
        <v>0</v>
      </c>
      <c r="R35" s="33">
        <v>0</v>
      </c>
      <c r="S35" s="4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 x14ac:dyDescent="0.3">
      <c r="A36" s="2" t="str">
        <f t="shared" ref="A36:A40" si="5">DEC2HEX(HEX2DEC(LEFT(A35,LEN(A35)-1))+1)&amp;"h"</f>
        <v>10h</v>
      </c>
      <c r="B36" s="33" t="str">
        <f t="shared" si="1"/>
        <v>000003</v>
      </c>
      <c r="C36" s="33" t="str">
        <f t="shared" si="2"/>
        <v>0</v>
      </c>
      <c r="D36" s="2" t="str">
        <f t="shared" si="3"/>
        <v>0</v>
      </c>
      <c r="E36" s="3"/>
      <c r="F36" s="9">
        <v>0</v>
      </c>
      <c r="G36" s="2">
        <v>0</v>
      </c>
      <c r="H36" s="2">
        <v>0</v>
      </c>
      <c r="I36" s="2">
        <v>0</v>
      </c>
      <c r="J36" s="34">
        <v>0</v>
      </c>
      <c r="K36" s="10">
        <v>0</v>
      </c>
      <c r="L36" s="9">
        <v>0</v>
      </c>
      <c r="M36" s="2">
        <v>0</v>
      </c>
      <c r="N36" s="2">
        <v>0</v>
      </c>
      <c r="O36" s="10">
        <v>0</v>
      </c>
      <c r="P36" s="35">
        <v>0</v>
      </c>
      <c r="Q36" s="33">
        <v>0</v>
      </c>
      <c r="R36" s="33">
        <v>0</v>
      </c>
      <c r="S36" s="4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1</v>
      </c>
      <c r="AC36" s="2">
        <v>1</v>
      </c>
    </row>
    <row r="37" spans="1:29" x14ac:dyDescent="0.3">
      <c r="A37" s="2" t="str">
        <f t="shared" si="5"/>
        <v>11h</v>
      </c>
      <c r="B37" s="33" t="str">
        <f t="shared" si="1"/>
        <v>46000C</v>
      </c>
      <c r="C37" s="33" t="str">
        <f t="shared" si="2"/>
        <v>11</v>
      </c>
      <c r="D37" s="2" t="str">
        <f t="shared" si="3"/>
        <v>8</v>
      </c>
      <c r="E37" s="3"/>
      <c r="F37" s="9">
        <v>0</v>
      </c>
      <c r="G37" s="2">
        <v>1</v>
      </c>
      <c r="H37" s="2">
        <v>0</v>
      </c>
      <c r="I37" s="2">
        <v>0</v>
      </c>
      <c r="J37" s="34">
        <v>0</v>
      </c>
      <c r="K37" s="10">
        <v>1</v>
      </c>
      <c r="L37" s="9">
        <v>1</v>
      </c>
      <c r="M37" s="2">
        <v>0</v>
      </c>
      <c r="N37" s="2">
        <v>0</v>
      </c>
      <c r="O37" s="10">
        <v>0</v>
      </c>
      <c r="P37" s="35">
        <v>0</v>
      </c>
      <c r="Q37" s="33">
        <v>0</v>
      </c>
      <c r="R37" s="33">
        <v>0</v>
      </c>
      <c r="S37" s="4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1</v>
      </c>
      <c r="AA37" s="2">
        <v>1</v>
      </c>
      <c r="AB37" s="2">
        <v>0</v>
      </c>
      <c r="AC37" s="2">
        <v>0</v>
      </c>
    </row>
    <row r="38" spans="1:29" x14ac:dyDescent="0.3">
      <c r="A38" s="2" t="str">
        <f t="shared" si="5"/>
        <v>12h</v>
      </c>
      <c r="B38" s="33" t="str">
        <f t="shared" si="1"/>
        <v>000080</v>
      </c>
      <c r="C38" s="33" t="str">
        <f t="shared" si="2"/>
        <v>0</v>
      </c>
      <c r="D38" s="2" t="str">
        <f t="shared" si="3"/>
        <v>0</v>
      </c>
      <c r="E38" s="3"/>
      <c r="F38" s="9">
        <v>0</v>
      </c>
      <c r="G38" s="2">
        <v>0</v>
      </c>
      <c r="H38" s="2">
        <v>0</v>
      </c>
      <c r="I38" s="2">
        <v>0</v>
      </c>
      <c r="J38" s="34">
        <v>0</v>
      </c>
      <c r="K38" s="10">
        <v>0</v>
      </c>
      <c r="L38" s="9">
        <v>0</v>
      </c>
      <c r="M38" s="2">
        <v>0</v>
      </c>
      <c r="N38" s="2">
        <v>0</v>
      </c>
      <c r="O38" s="10">
        <v>0</v>
      </c>
      <c r="P38" s="35">
        <v>0</v>
      </c>
      <c r="Q38" s="33">
        <v>0</v>
      </c>
      <c r="R38" s="33">
        <v>0</v>
      </c>
      <c r="S38" s="4">
        <v>0</v>
      </c>
      <c r="T38" s="2">
        <v>0</v>
      </c>
      <c r="U38" s="2">
        <v>0</v>
      </c>
      <c r="V38" s="2">
        <v>1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 x14ac:dyDescent="0.3">
      <c r="A39" s="2" t="str">
        <f t="shared" si="5"/>
        <v>13h</v>
      </c>
      <c r="B39" s="33" t="str">
        <f t="shared" si="1"/>
        <v>004300</v>
      </c>
      <c r="C39" s="33" t="str">
        <f t="shared" si="2"/>
        <v>0</v>
      </c>
      <c r="D39" s="2" t="str">
        <f t="shared" si="3"/>
        <v>1</v>
      </c>
      <c r="E39" s="3"/>
      <c r="F39" s="9">
        <v>0</v>
      </c>
      <c r="G39" s="7">
        <v>0</v>
      </c>
      <c r="H39" s="7">
        <v>0</v>
      </c>
      <c r="I39" s="7">
        <v>0</v>
      </c>
      <c r="J39" s="39">
        <v>0</v>
      </c>
      <c r="K39" s="14">
        <v>0</v>
      </c>
      <c r="L39" s="13">
        <v>0</v>
      </c>
      <c r="M39" s="7">
        <v>0</v>
      </c>
      <c r="N39" s="7">
        <v>0</v>
      </c>
      <c r="O39" s="14">
        <v>1</v>
      </c>
      <c r="P39" s="35">
        <v>0</v>
      </c>
      <c r="Q39" s="33">
        <v>0</v>
      </c>
      <c r="R39" s="33">
        <v>0</v>
      </c>
      <c r="S39" s="4">
        <v>0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 x14ac:dyDescent="0.3">
      <c r="A40" s="2" t="str">
        <f t="shared" si="5"/>
        <v>14h</v>
      </c>
      <c r="B40" s="33" t="str">
        <f t="shared" si="1"/>
        <v>004500</v>
      </c>
      <c r="C40" s="33" t="str">
        <f t="shared" si="2"/>
        <v>0</v>
      </c>
      <c r="D40" s="2" t="str">
        <f t="shared" si="3"/>
        <v>1</v>
      </c>
      <c r="E40" s="3"/>
      <c r="F40" s="9">
        <v>0</v>
      </c>
      <c r="G40" s="2">
        <v>0</v>
      </c>
      <c r="H40" s="2">
        <v>0</v>
      </c>
      <c r="I40" s="2">
        <v>0</v>
      </c>
      <c r="J40" s="34">
        <v>0</v>
      </c>
      <c r="K40" s="10">
        <v>0</v>
      </c>
      <c r="L40" s="9">
        <v>0</v>
      </c>
      <c r="M40" s="2">
        <v>0</v>
      </c>
      <c r="N40" s="2">
        <v>0</v>
      </c>
      <c r="O40" s="10">
        <v>1</v>
      </c>
      <c r="P40" s="35">
        <v>0</v>
      </c>
      <c r="Q40" s="33">
        <v>0</v>
      </c>
      <c r="R40" s="33">
        <v>0</v>
      </c>
      <c r="S40" s="4">
        <v>1</v>
      </c>
      <c r="T40" s="2">
        <v>0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</sheetData>
  <mergeCells count="23">
    <mergeCell ref="L19:O19"/>
    <mergeCell ref="E18:E19"/>
    <mergeCell ref="D18:D19"/>
    <mergeCell ref="C18:C19"/>
    <mergeCell ref="B18:B19"/>
    <mergeCell ref="A18:A19"/>
    <mergeCell ref="F19:K19"/>
    <mergeCell ref="A8:C8"/>
    <mergeCell ref="A7:C7"/>
    <mergeCell ref="A6:C6"/>
    <mergeCell ref="E1:H1"/>
    <mergeCell ref="A1:C1"/>
    <mergeCell ref="A15:C15"/>
    <mergeCell ref="A14:C14"/>
    <mergeCell ref="A13:C13"/>
    <mergeCell ref="A11:C11"/>
    <mergeCell ref="A10:C10"/>
    <mergeCell ref="A9:C9"/>
    <mergeCell ref="A5:C5"/>
    <mergeCell ref="A4:C4"/>
    <mergeCell ref="A2:C2"/>
    <mergeCell ref="E4:H4"/>
    <mergeCell ref="E13:H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483D-35E2-407A-84C0-42999B0326F1}">
  <dimension ref="A1:AK41"/>
  <sheetViews>
    <sheetView workbookViewId="0">
      <pane ySplit="14" topLeftCell="A15" activePane="bottomLeft" state="frozen"/>
      <selection pane="bottomLeft" sqref="A1:C1"/>
    </sheetView>
  </sheetViews>
  <sheetFormatPr defaultColWidth="8.88671875" defaultRowHeight="14.4" x14ac:dyDescent="0.3"/>
  <cols>
    <col min="1" max="1" width="8.88671875" style="1"/>
    <col min="2" max="2" width="11.109375" style="1" customWidth="1"/>
    <col min="3" max="16384" width="8.88671875" style="1"/>
  </cols>
  <sheetData>
    <row r="1" spans="1:37" x14ac:dyDescent="0.3">
      <c r="A1" s="43" t="s">
        <v>0</v>
      </c>
      <c r="B1" s="43"/>
      <c r="C1" s="43"/>
      <c r="D1" s="6" t="s">
        <v>1</v>
      </c>
      <c r="E1" s="43" t="s">
        <v>2</v>
      </c>
      <c r="F1" s="43"/>
      <c r="G1" s="43"/>
      <c r="H1" s="43"/>
    </row>
    <row r="2" spans="1:37" x14ac:dyDescent="0.3">
      <c r="A2" s="44" t="s">
        <v>3</v>
      </c>
      <c r="B2" s="44"/>
      <c r="C2" s="44"/>
      <c r="D2" s="2" t="str">
        <f>BIN2HEX(E2&amp;F2&amp;G2&amp;H2)</f>
        <v>1</v>
      </c>
      <c r="E2" s="33">
        <v>0</v>
      </c>
      <c r="F2" s="33">
        <v>0</v>
      </c>
      <c r="G2" s="33">
        <v>0</v>
      </c>
      <c r="H2" s="38">
        <v>1</v>
      </c>
    </row>
    <row r="3" spans="1:37" x14ac:dyDescent="0.3">
      <c r="H3" s="16"/>
    </row>
    <row r="4" spans="1:37" x14ac:dyDescent="0.3">
      <c r="A4" s="43" t="s">
        <v>4</v>
      </c>
      <c r="B4" s="43"/>
      <c r="C4" s="43"/>
      <c r="D4" s="6" t="s">
        <v>1</v>
      </c>
      <c r="E4" s="43" t="s">
        <v>2</v>
      </c>
      <c r="F4" s="43"/>
      <c r="G4" s="43"/>
      <c r="H4" s="43"/>
    </row>
    <row r="5" spans="1:37" x14ac:dyDescent="0.3">
      <c r="A5" s="44" t="s">
        <v>34</v>
      </c>
      <c r="B5" s="44"/>
      <c r="C5" s="44"/>
      <c r="D5" s="2" t="str">
        <f>BIN2HEX(E5&amp;F5&amp;G5&amp;H5)</f>
        <v>2</v>
      </c>
      <c r="E5" s="33">
        <v>0</v>
      </c>
      <c r="F5" s="33">
        <v>0</v>
      </c>
      <c r="G5" s="33">
        <v>1</v>
      </c>
      <c r="H5" s="38">
        <v>0</v>
      </c>
    </row>
    <row r="6" spans="1:37" x14ac:dyDescent="0.3">
      <c r="A6" s="44" t="s">
        <v>44</v>
      </c>
      <c r="B6" s="44"/>
      <c r="C6" s="44"/>
      <c r="D6" s="33" t="str">
        <f t="shared" ref="D6:D7" si="0">BIN2HEX(E6&amp;F6&amp;G6&amp;H6)</f>
        <v>3</v>
      </c>
      <c r="E6" s="33">
        <v>0</v>
      </c>
      <c r="F6" s="33">
        <v>0</v>
      </c>
      <c r="G6" s="33">
        <v>1</v>
      </c>
      <c r="H6" s="38">
        <v>1</v>
      </c>
    </row>
    <row r="7" spans="1:37" x14ac:dyDescent="0.3">
      <c r="A7" s="44" t="s">
        <v>11</v>
      </c>
      <c r="B7" s="44"/>
      <c r="C7" s="44"/>
      <c r="D7" s="33" t="str">
        <f t="shared" si="0"/>
        <v>4</v>
      </c>
      <c r="E7" s="33">
        <v>0</v>
      </c>
      <c r="F7" s="33">
        <v>1</v>
      </c>
      <c r="G7" s="33">
        <v>0</v>
      </c>
      <c r="H7" s="38">
        <v>0</v>
      </c>
    </row>
    <row r="8" spans="1:37" x14ac:dyDescent="0.3">
      <c r="H8" s="16"/>
    </row>
    <row r="9" spans="1:37" x14ac:dyDescent="0.3">
      <c r="A9" s="43" t="s">
        <v>35</v>
      </c>
      <c r="B9" s="43"/>
      <c r="C9" s="43"/>
      <c r="D9" s="6" t="s">
        <v>1</v>
      </c>
      <c r="E9" s="43" t="s">
        <v>2</v>
      </c>
      <c r="F9" s="43"/>
      <c r="G9" s="43"/>
      <c r="H9" s="43"/>
    </row>
    <row r="10" spans="1:37" x14ac:dyDescent="0.3">
      <c r="A10" s="44" t="s">
        <v>46</v>
      </c>
      <c r="B10" s="44"/>
      <c r="C10" s="44"/>
      <c r="D10" s="2" t="str">
        <f t="shared" ref="D10" si="1">BIN2HEX(E10&amp;F10&amp;G10&amp;H10)</f>
        <v>5</v>
      </c>
      <c r="E10" s="33">
        <v>0</v>
      </c>
      <c r="F10" s="33">
        <v>1</v>
      </c>
      <c r="G10" s="33">
        <v>0</v>
      </c>
      <c r="H10" s="38">
        <v>1</v>
      </c>
    </row>
    <row r="13" spans="1:37" x14ac:dyDescent="0.3">
      <c r="A13" s="43" t="s">
        <v>15</v>
      </c>
      <c r="B13" s="43" t="s">
        <v>16</v>
      </c>
      <c r="C13" s="43" t="s">
        <v>17</v>
      </c>
      <c r="D13" s="43" t="s">
        <v>18</v>
      </c>
      <c r="E13" s="46" t="s">
        <v>19</v>
      </c>
      <c r="F13" s="11">
        <v>31</v>
      </c>
      <c r="G13" s="6">
        <v>30</v>
      </c>
      <c r="H13" s="6">
        <v>29</v>
      </c>
      <c r="I13" s="6">
        <v>28</v>
      </c>
      <c r="J13" s="32">
        <v>27</v>
      </c>
      <c r="K13" s="12">
        <v>26</v>
      </c>
      <c r="L13" s="11">
        <v>25</v>
      </c>
      <c r="M13" s="8">
        <v>24</v>
      </c>
      <c r="N13" s="6">
        <v>23</v>
      </c>
      <c r="O13" s="32">
        <v>22</v>
      </c>
      <c r="P13" s="30">
        <v>21</v>
      </c>
      <c r="Q13" s="8">
        <v>20</v>
      </c>
      <c r="R13" s="8">
        <v>19</v>
      </c>
      <c r="S13" s="31">
        <v>18</v>
      </c>
      <c r="T13" s="31">
        <v>17</v>
      </c>
      <c r="U13" s="6">
        <v>16</v>
      </c>
      <c r="V13" s="6">
        <v>15</v>
      </c>
      <c r="W13" s="6">
        <v>14</v>
      </c>
      <c r="X13" s="6">
        <v>13</v>
      </c>
      <c r="Y13" s="6">
        <v>12</v>
      </c>
      <c r="Z13" s="6">
        <v>11</v>
      </c>
      <c r="AA13" s="6">
        <v>10</v>
      </c>
      <c r="AB13" s="6">
        <v>9</v>
      </c>
      <c r="AC13" s="6">
        <v>8</v>
      </c>
      <c r="AD13" s="6">
        <v>7</v>
      </c>
      <c r="AE13" s="6">
        <v>6</v>
      </c>
      <c r="AF13" s="6">
        <v>5</v>
      </c>
      <c r="AG13" s="6">
        <v>4</v>
      </c>
      <c r="AH13" s="6">
        <v>3</v>
      </c>
      <c r="AI13" s="6">
        <v>2</v>
      </c>
      <c r="AJ13" s="6">
        <v>1</v>
      </c>
      <c r="AK13" s="6">
        <v>0</v>
      </c>
    </row>
    <row r="14" spans="1:37" x14ac:dyDescent="0.3">
      <c r="A14" s="43"/>
      <c r="B14" s="43"/>
      <c r="C14" s="43"/>
      <c r="D14" s="43"/>
      <c r="E14" s="46"/>
      <c r="F14" s="45" t="s">
        <v>20</v>
      </c>
      <c r="G14" s="43"/>
      <c r="H14" s="43"/>
      <c r="I14" s="43"/>
      <c r="J14" s="46"/>
      <c r="K14" s="47"/>
      <c r="L14" s="45" t="s">
        <v>21</v>
      </c>
      <c r="M14" s="48"/>
      <c r="N14" s="43"/>
      <c r="O14" s="46"/>
      <c r="P14" s="30"/>
      <c r="Q14" s="8"/>
      <c r="R14" s="8"/>
      <c r="S14" s="31"/>
      <c r="T14" s="31"/>
      <c r="U14" s="6" t="s">
        <v>32</v>
      </c>
      <c r="V14" s="6" t="s">
        <v>36</v>
      </c>
      <c r="W14" s="6" t="s">
        <v>38</v>
      </c>
      <c r="X14" s="6" t="s">
        <v>151</v>
      </c>
      <c r="Y14" s="6" t="s">
        <v>150</v>
      </c>
      <c r="Z14" s="6" t="s">
        <v>40</v>
      </c>
      <c r="AA14" s="6" t="s">
        <v>80</v>
      </c>
      <c r="AB14" s="6" t="s">
        <v>79</v>
      </c>
      <c r="AC14" s="6" t="s">
        <v>25</v>
      </c>
      <c r="AD14" s="6" t="s">
        <v>24</v>
      </c>
      <c r="AE14" s="6" t="s">
        <v>22</v>
      </c>
      <c r="AF14" s="6" t="s">
        <v>37</v>
      </c>
      <c r="AG14" s="6" t="s">
        <v>39</v>
      </c>
      <c r="AH14" s="6" t="s">
        <v>42</v>
      </c>
      <c r="AI14" s="6" t="s">
        <v>149</v>
      </c>
      <c r="AJ14" s="6" t="s">
        <v>41</v>
      </c>
      <c r="AK14" s="6" t="s">
        <v>43</v>
      </c>
    </row>
    <row r="15" spans="1:37" x14ac:dyDescent="0.3">
      <c r="A15" s="2" t="s">
        <v>33</v>
      </c>
      <c r="B15" s="2" t="str">
        <f>BIN2HEX(
IF(ISBLANK(F15),0,F15)&amp;
IF(ISBLANK(G15),0,G15)&amp;
IF(ISBLANK(H15),0,H15)&amp;
IF(ISBLANK(I15),0,I15)&amp;
IF(ISBLANK(J15),0,J15)&amp;
IF(ISBLANK(K15),0,K15)&amp;
IF(ISBLANK(L15),0,L15)&amp;
IF(ISBLANK(M15),0,M15),2)&amp;
BIN2HEX(
IF(ISBLANK(N15),0,N15)&amp;
IF(ISBLANK(O15),0,O15)&amp;
IF(ISBLANK(P15),0,P15) &amp;
IF(ISBLANK(Q15),0,Q15)&amp;
IF(ISBLANK(R15),0,R15) &amp;
IF(ISBLANK(S15),0,S15) &amp;
IF(ISBLANK(T15),0,T15)&amp;
IF(ISBLANK(U15),0,U15),2)&amp;
BIN2HEX(
IF(ISBLANK(V15),0,V15)&amp;
IF(ISBLANK(W15),0,W15) &amp;
IF(ISBLANK(X15),0,X15)&amp;
IF(ISBLANK(Y15),0,Y15) &amp;
IF(ISBLANK(Z15),0,Z15) &amp;
IF(ISBLANK(AA15),0,AA15)&amp;
IF(ISBLANK(AB15),0,AB15)&amp;
IF(ISBLANK(AC15),0,AC15),2)&amp;
BIN2HEX(
IF(ISBLANK(AD15),0,AD15) &amp;
IF(ISBLANK(AE15),0,AE15)&amp;
IF(ISBLANK(AF15),0,AF15)&amp;
IF(ISBLANK(AG15),0,AG15) &amp;
IF(ISBLANK(AH15),0,AH15)&amp;
IF(ISBLANK(AI15),0,AI15)&amp;
IF(ISBLANK(AJ15),0,AJ15)&amp;
IF(ISBLANK(AK15),0,AK15),2)</f>
        <v>00800000</v>
      </c>
      <c r="C15" s="2" t="str">
        <f>BIN2HEX(
IF(ISBLANK(F15),0,F15) &amp;
IF(ISBLANK(G15),0,G15)&amp;
IF(ISBLANK(H15),0,H15)&amp;
IF(ISBLANK(I15),0,I15)&amp;
IF(ISBLANK(J15),0,J15)&amp;
IF(ISBLANK(K15),0,K15))</f>
        <v>0</v>
      </c>
      <c r="D15" s="2" t="str">
        <f>BIN2HEX(
IF(ISBLANK(L15),0,L15) &amp;
IF(ISBLANK(M15),0,M15)&amp;
IF(ISBLANK(N15),0,N15)&amp;
IF(ISBLANK(O15),0,O15))</f>
        <v>2</v>
      </c>
      <c r="E15" s="3"/>
      <c r="F15" s="9">
        <v>0</v>
      </c>
      <c r="G15" s="2">
        <v>0</v>
      </c>
      <c r="H15" s="2">
        <v>0</v>
      </c>
      <c r="I15" s="2">
        <v>0</v>
      </c>
      <c r="J15" s="34">
        <v>0</v>
      </c>
      <c r="K15" s="10">
        <v>0</v>
      </c>
      <c r="L15" s="9">
        <v>0</v>
      </c>
      <c r="M15" s="36">
        <v>0</v>
      </c>
      <c r="N15" s="2">
        <v>1</v>
      </c>
      <c r="O15" s="34">
        <v>0</v>
      </c>
      <c r="P15" s="9">
        <v>0</v>
      </c>
      <c r="Q15" s="36">
        <v>0</v>
      </c>
      <c r="R15" s="36">
        <v>0</v>
      </c>
      <c r="S15" s="33">
        <v>0</v>
      </c>
      <c r="T15" s="33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</row>
    <row r="16" spans="1:37" x14ac:dyDescent="0.3">
      <c r="A16" s="2" t="str">
        <f>DEC2HEX(HEX2DEC(LEFT(A15,LEN(A15)-1))+1)&amp;"h"</f>
        <v>1h</v>
      </c>
      <c r="B16" s="33" t="str">
        <f t="shared" ref="B16:B40" si="2">BIN2HEX(
IF(ISBLANK(F16),0,F16)&amp;
IF(ISBLANK(G16),0,G16)&amp;
IF(ISBLANK(H16),0,H16)&amp;
IF(ISBLANK(I16),0,I16)&amp;
IF(ISBLANK(J16),0,J16)&amp;
IF(ISBLANK(K16),0,K16)&amp;
IF(ISBLANK(L16),0,L16)&amp;
IF(ISBLANK(M16),0,M16),2)&amp;
BIN2HEX(
IF(ISBLANK(N16),0,N16)&amp;
IF(ISBLANK(O16),0,O16)&amp;
IF(ISBLANK(P16),0,P16) &amp;
IF(ISBLANK(Q16),0,Q16)&amp;
IF(ISBLANK(R16),0,R16) &amp;
IF(ISBLANK(S16),0,S16) &amp;
IF(ISBLANK(T16),0,T16)&amp;
IF(ISBLANK(U16),0,U16),2)&amp;
BIN2HEX(
IF(ISBLANK(V16),0,V16)&amp;
IF(ISBLANK(W16),0,W16) &amp;
IF(ISBLANK(X16),0,X16)&amp;
IF(ISBLANK(Y16),0,Y16) &amp;
IF(ISBLANK(Z16),0,Z16) &amp;
IF(ISBLANK(AA16),0,AA16)&amp;
IF(ISBLANK(AB16),0,AB16)&amp;
IF(ISBLANK(AC16),0,AC16),2)&amp;
BIN2HEX(
IF(ISBLANK(AD16),0,AD16) &amp;
IF(ISBLANK(AE16),0,AE16)&amp;
IF(ISBLANK(AF16),0,AF16)&amp;
IF(ISBLANK(AG16),0,AG16) &amp;
IF(ISBLANK(AH16),0,AH16)&amp;
IF(ISBLANK(AI16),0,AI16)&amp;
IF(ISBLANK(AJ16),0,AJ16)&amp;
IF(ISBLANK(AK16),0,AK16),2)</f>
        <v>01400000</v>
      </c>
      <c r="C16" s="33" t="str">
        <f t="shared" ref="C16:C40" si="3">BIN2HEX(
IF(ISBLANK(F16),0,F16) &amp;
IF(ISBLANK(G16),0,G16)&amp;
IF(ISBLANK(H16),0,H16)&amp;
IF(ISBLANK(I16),0,I16)&amp;
IF(ISBLANK(J16),0,J16)&amp;
IF(ISBLANK(K16),0,K16))</f>
        <v>0</v>
      </c>
      <c r="D16" s="33" t="str">
        <f t="shared" ref="D16:D40" si="4">BIN2HEX(
IF(ISBLANK(L16),0,L16) &amp;
IF(ISBLANK(M16),0,M16)&amp;
IF(ISBLANK(N16),0,N16)&amp;
IF(ISBLANK(O16),0,O16))</f>
        <v>5</v>
      </c>
      <c r="E16" s="3"/>
      <c r="F16" s="9">
        <v>0</v>
      </c>
      <c r="G16" s="33">
        <v>0</v>
      </c>
      <c r="H16" s="33">
        <v>0</v>
      </c>
      <c r="I16" s="33">
        <v>0</v>
      </c>
      <c r="J16" s="34">
        <v>0</v>
      </c>
      <c r="K16" s="10">
        <v>0</v>
      </c>
      <c r="L16" s="9">
        <v>0</v>
      </c>
      <c r="M16" s="36">
        <v>1</v>
      </c>
      <c r="N16" s="33">
        <v>0</v>
      </c>
      <c r="O16" s="34">
        <v>1</v>
      </c>
      <c r="P16" s="9">
        <v>0</v>
      </c>
      <c r="Q16" s="36">
        <v>0</v>
      </c>
      <c r="R16" s="36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</row>
    <row r="17" spans="1:37" x14ac:dyDescent="0.3">
      <c r="A17" s="2" t="str">
        <f t="shared" ref="A17:A28" si="5">DEC2HEX(HEX2DEC(LEFT(A16,LEN(A16)-1))+1)&amp;"h"</f>
        <v>2h</v>
      </c>
      <c r="B17" s="33" t="str">
        <f t="shared" si="2"/>
        <v>68400005</v>
      </c>
      <c r="C17" s="33" t="str">
        <f t="shared" si="3"/>
        <v>1A</v>
      </c>
      <c r="D17" s="33" t="str">
        <f t="shared" si="4"/>
        <v>1</v>
      </c>
      <c r="E17" s="3"/>
      <c r="F17" s="9">
        <v>0</v>
      </c>
      <c r="G17" s="33">
        <v>1</v>
      </c>
      <c r="H17" s="33">
        <v>1</v>
      </c>
      <c r="I17" s="33">
        <v>0</v>
      </c>
      <c r="J17" s="34">
        <v>1</v>
      </c>
      <c r="K17" s="10">
        <v>0</v>
      </c>
      <c r="L17" s="9">
        <v>0</v>
      </c>
      <c r="M17" s="36">
        <v>0</v>
      </c>
      <c r="N17" s="33">
        <v>0</v>
      </c>
      <c r="O17" s="34">
        <v>1</v>
      </c>
      <c r="P17" s="9">
        <v>0</v>
      </c>
      <c r="Q17" s="36">
        <v>0</v>
      </c>
      <c r="R17" s="36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1</v>
      </c>
      <c r="AJ17" s="33">
        <v>0</v>
      </c>
      <c r="AK17" s="33">
        <v>1</v>
      </c>
    </row>
    <row r="18" spans="1:37" x14ac:dyDescent="0.3">
      <c r="A18" s="2" t="str">
        <f t="shared" si="5"/>
        <v>3h</v>
      </c>
      <c r="B18" s="33" t="str">
        <f t="shared" si="2"/>
        <v>50400048</v>
      </c>
      <c r="C18" s="33" t="str">
        <f t="shared" si="3"/>
        <v>14</v>
      </c>
      <c r="D18" s="33" t="str">
        <f t="shared" si="4"/>
        <v>1</v>
      </c>
      <c r="E18" s="3"/>
      <c r="F18" s="9">
        <v>0</v>
      </c>
      <c r="G18" s="33">
        <v>1</v>
      </c>
      <c r="H18" s="33">
        <v>0</v>
      </c>
      <c r="I18" s="33">
        <v>1</v>
      </c>
      <c r="J18" s="34">
        <v>0</v>
      </c>
      <c r="K18" s="10">
        <v>0</v>
      </c>
      <c r="L18" s="9">
        <v>0</v>
      </c>
      <c r="M18" s="36">
        <v>0</v>
      </c>
      <c r="N18" s="33">
        <v>0</v>
      </c>
      <c r="O18" s="34">
        <v>1</v>
      </c>
      <c r="P18" s="9">
        <v>0</v>
      </c>
      <c r="Q18" s="36">
        <v>0</v>
      </c>
      <c r="R18" s="36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1</v>
      </c>
      <c r="AF18" s="33">
        <v>0</v>
      </c>
      <c r="AG18" s="33">
        <v>0</v>
      </c>
      <c r="AH18" s="33">
        <v>1</v>
      </c>
      <c r="AI18" s="33">
        <v>0</v>
      </c>
      <c r="AJ18" s="33">
        <v>0</v>
      </c>
      <c r="AK18" s="33">
        <v>0</v>
      </c>
    </row>
    <row r="19" spans="1:37" x14ac:dyDescent="0.3">
      <c r="A19" s="2" t="str">
        <f t="shared" si="5"/>
        <v>4h</v>
      </c>
      <c r="B19" s="33" t="str">
        <f t="shared" si="2"/>
        <v>68400006</v>
      </c>
      <c r="C19" s="33" t="str">
        <f t="shared" si="3"/>
        <v>1A</v>
      </c>
      <c r="D19" s="33" t="str">
        <f t="shared" si="4"/>
        <v>1</v>
      </c>
      <c r="E19" s="3"/>
      <c r="F19" s="9">
        <v>0</v>
      </c>
      <c r="G19" s="33">
        <v>1</v>
      </c>
      <c r="H19" s="33">
        <v>1</v>
      </c>
      <c r="I19" s="33">
        <v>0</v>
      </c>
      <c r="J19" s="34">
        <v>1</v>
      </c>
      <c r="K19" s="10">
        <v>0</v>
      </c>
      <c r="L19" s="9">
        <v>0</v>
      </c>
      <c r="M19" s="36">
        <v>0</v>
      </c>
      <c r="N19" s="33">
        <v>0</v>
      </c>
      <c r="O19" s="34">
        <v>1</v>
      </c>
      <c r="P19" s="9">
        <v>0</v>
      </c>
      <c r="Q19" s="36">
        <v>0</v>
      </c>
      <c r="R19" s="36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1</v>
      </c>
      <c r="AJ19" s="33">
        <v>1</v>
      </c>
      <c r="AK19" s="33">
        <v>0</v>
      </c>
    </row>
    <row r="20" spans="1:37" x14ac:dyDescent="0.3">
      <c r="A20" s="2" t="str">
        <f t="shared" si="5"/>
        <v>5h</v>
      </c>
      <c r="B20" s="33" t="str">
        <f t="shared" si="2"/>
        <v>00000048</v>
      </c>
      <c r="C20" s="33" t="str">
        <f t="shared" si="3"/>
        <v>0</v>
      </c>
      <c r="D20" s="33" t="str">
        <f t="shared" si="4"/>
        <v>0</v>
      </c>
      <c r="E20" s="3"/>
      <c r="F20" s="9">
        <v>0</v>
      </c>
      <c r="G20" s="33">
        <v>0</v>
      </c>
      <c r="H20" s="33">
        <v>0</v>
      </c>
      <c r="I20" s="33">
        <v>0</v>
      </c>
      <c r="J20" s="34">
        <v>0</v>
      </c>
      <c r="K20" s="10">
        <v>0</v>
      </c>
      <c r="L20" s="9">
        <v>0</v>
      </c>
      <c r="M20" s="36">
        <v>0</v>
      </c>
      <c r="N20" s="33">
        <v>0</v>
      </c>
      <c r="O20" s="34">
        <v>0</v>
      </c>
      <c r="P20" s="9">
        <v>0</v>
      </c>
      <c r="Q20" s="36">
        <v>0</v>
      </c>
      <c r="R20" s="36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1</v>
      </c>
      <c r="AF20" s="33">
        <v>0</v>
      </c>
      <c r="AG20" s="33">
        <v>0</v>
      </c>
      <c r="AH20" s="33">
        <v>1</v>
      </c>
      <c r="AI20" s="33">
        <v>0</v>
      </c>
      <c r="AJ20" s="33">
        <v>0</v>
      </c>
      <c r="AK20" s="33">
        <v>0</v>
      </c>
    </row>
    <row r="21" spans="1:37" x14ac:dyDescent="0.3">
      <c r="A21" s="2" t="str">
        <f t="shared" si="5"/>
        <v>6h</v>
      </c>
      <c r="B21" s="33" t="str">
        <f t="shared" si="2"/>
        <v>19000180</v>
      </c>
      <c r="C21" s="33" t="str">
        <f t="shared" si="3"/>
        <v>6</v>
      </c>
      <c r="D21" s="33" t="str">
        <f t="shared" si="4"/>
        <v>4</v>
      </c>
      <c r="E21" s="3"/>
      <c r="F21" s="9">
        <v>0</v>
      </c>
      <c r="G21" s="33">
        <v>0</v>
      </c>
      <c r="H21" s="33">
        <v>0</v>
      </c>
      <c r="I21" s="33">
        <v>1</v>
      </c>
      <c r="J21" s="34">
        <v>1</v>
      </c>
      <c r="K21" s="10">
        <v>0</v>
      </c>
      <c r="L21" s="9">
        <v>0</v>
      </c>
      <c r="M21" s="36">
        <v>1</v>
      </c>
      <c r="N21" s="33">
        <v>0</v>
      </c>
      <c r="O21" s="34">
        <v>0</v>
      </c>
      <c r="P21" s="9">
        <v>0</v>
      </c>
      <c r="Q21" s="36">
        <v>0</v>
      </c>
      <c r="R21" s="36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1</v>
      </c>
      <c r="AD21" s="33">
        <v>1</v>
      </c>
      <c r="AE21" s="33">
        <v>0</v>
      </c>
      <c r="AF21" s="33">
        <v>0</v>
      </c>
      <c r="AG21" s="33">
        <v>0</v>
      </c>
      <c r="AH21" s="33">
        <v>0</v>
      </c>
      <c r="AI21" s="33">
        <v>0</v>
      </c>
      <c r="AJ21" s="33">
        <v>0</v>
      </c>
      <c r="AK21" s="33">
        <v>0</v>
      </c>
    </row>
    <row r="22" spans="1:37" x14ac:dyDescent="0.3">
      <c r="A22" s="2" t="str">
        <f t="shared" si="5"/>
        <v>7h</v>
      </c>
      <c r="B22" s="33" t="str">
        <f t="shared" si="2"/>
        <v>00000A00</v>
      </c>
      <c r="C22" s="33" t="str">
        <f t="shared" si="3"/>
        <v>0</v>
      </c>
      <c r="D22" s="33" t="str">
        <f t="shared" si="4"/>
        <v>0</v>
      </c>
      <c r="E22" s="3"/>
      <c r="F22" s="9">
        <v>0</v>
      </c>
      <c r="G22" s="33">
        <v>0</v>
      </c>
      <c r="H22" s="33">
        <v>0</v>
      </c>
      <c r="I22" s="33">
        <v>0</v>
      </c>
      <c r="J22" s="34">
        <v>0</v>
      </c>
      <c r="K22" s="10">
        <v>0</v>
      </c>
      <c r="L22" s="9">
        <v>0</v>
      </c>
      <c r="M22" s="36">
        <v>0</v>
      </c>
      <c r="N22" s="33">
        <v>0</v>
      </c>
      <c r="O22" s="34">
        <v>0</v>
      </c>
      <c r="P22" s="9">
        <v>0</v>
      </c>
      <c r="Q22" s="36">
        <v>0</v>
      </c>
      <c r="R22" s="36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1</v>
      </c>
      <c r="AA22" s="33">
        <v>0</v>
      </c>
      <c r="AB22" s="33">
        <v>1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</row>
    <row r="23" spans="1:37" x14ac:dyDescent="0.3">
      <c r="A23" s="2" t="str">
        <f t="shared" si="5"/>
        <v>8h</v>
      </c>
      <c r="B23" s="33" t="str">
        <f t="shared" si="2"/>
        <v>21000180</v>
      </c>
      <c r="C23" s="33" t="str">
        <f t="shared" si="3"/>
        <v>8</v>
      </c>
      <c r="D23" s="33" t="str">
        <f t="shared" si="4"/>
        <v>4</v>
      </c>
      <c r="E23" s="3"/>
      <c r="F23" s="9">
        <v>0</v>
      </c>
      <c r="G23" s="33">
        <v>0</v>
      </c>
      <c r="H23" s="33">
        <v>1</v>
      </c>
      <c r="I23" s="33">
        <v>0</v>
      </c>
      <c r="J23" s="34">
        <v>0</v>
      </c>
      <c r="K23" s="10">
        <v>0</v>
      </c>
      <c r="L23" s="9">
        <v>0</v>
      </c>
      <c r="M23" s="36">
        <v>1</v>
      </c>
      <c r="N23" s="33">
        <v>0</v>
      </c>
      <c r="O23" s="34">
        <v>0</v>
      </c>
      <c r="P23" s="9">
        <v>0</v>
      </c>
      <c r="Q23" s="36">
        <v>0</v>
      </c>
      <c r="R23" s="36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1</v>
      </c>
      <c r="AD23" s="33">
        <v>1</v>
      </c>
      <c r="AE23" s="33">
        <v>0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</row>
    <row r="24" spans="1:37" x14ac:dyDescent="0.3">
      <c r="A24" s="2" t="str">
        <f t="shared" si="5"/>
        <v>9h</v>
      </c>
      <c r="B24" s="33" t="str">
        <f t="shared" si="2"/>
        <v>00000400</v>
      </c>
      <c r="C24" s="33" t="str">
        <f t="shared" si="3"/>
        <v>0</v>
      </c>
      <c r="D24" s="33" t="str">
        <f t="shared" si="4"/>
        <v>0</v>
      </c>
      <c r="E24" s="3"/>
      <c r="F24" s="9">
        <v>0</v>
      </c>
      <c r="G24" s="33">
        <v>0</v>
      </c>
      <c r="H24" s="33">
        <v>0</v>
      </c>
      <c r="I24" s="33">
        <v>0</v>
      </c>
      <c r="J24" s="34">
        <v>0</v>
      </c>
      <c r="K24" s="10">
        <v>0</v>
      </c>
      <c r="L24" s="9">
        <v>0</v>
      </c>
      <c r="M24" s="36">
        <v>0</v>
      </c>
      <c r="N24" s="33">
        <v>0</v>
      </c>
      <c r="O24" s="34">
        <v>0</v>
      </c>
      <c r="P24" s="9">
        <v>0</v>
      </c>
      <c r="Q24" s="36">
        <v>0</v>
      </c>
      <c r="R24" s="36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1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</row>
    <row r="25" spans="1:37" x14ac:dyDescent="0.3">
      <c r="A25" s="2" t="str">
        <f t="shared" si="5"/>
        <v>Ah</v>
      </c>
      <c r="B25" s="33" t="str">
        <f t="shared" si="2"/>
        <v>50400058</v>
      </c>
      <c r="C25" s="33" t="str">
        <f t="shared" si="3"/>
        <v>14</v>
      </c>
      <c r="D25" s="33" t="str">
        <f t="shared" si="4"/>
        <v>1</v>
      </c>
      <c r="E25" s="3"/>
      <c r="F25" s="9">
        <v>0</v>
      </c>
      <c r="G25" s="33">
        <v>1</v>
      </c>
      <c r="H25" s="33">
        <v>0</v>
      </c>
      <c r="I25" s="33">
        <v>1</v>
      </c>
      <c r="J25" s="34">
        <v>0</v>
      </c>
      <c r="K25" s="10">
        <v>0</v>
      </c>
      <c r="L25" s="9">
        <v>0</v>
      </c>
      <c r="M25" s="36">
        <v>0</v>
      </c>
      <c r="N25" s="33">
        <v>0</v>
      </c>
      <c r="O25" s="34">
        <v>1</v>
      </c>
      <c r="P25" s="9">
        <v>0</v>
      </c>
      <c r="Q25" s="36">
        <v>0</v>
      </c>
      <c r="R25" s="36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1</v>
      </c>
      <c r="AF25" s="33">
        <v>0</v>
      </c>
      <c r="AG25" s="33">
        <v>1</v>
      </c>
      <c r="AH25" s="33">
        <v>1</v>
      </c>
      <c r="AI25" s="33">
        <v>0</v>
      </c>
      <c r="AJ25" s="33">
        <v>0</v>
      </c>
      <c r="AK25" s="33">
        <v>0</v>
      </c>
    </row>
    <row r="26" spans="1:37" x14ac:dyDescent="0.3">
      <c r="A26" s="2" t="str">
        <f t="shared" si="5"/>
        <v>Bh</v>
      </c>
      <c r="B26" s="33" t="str">
        <f t="shared" si="2"/>
        <v>00000006</v>
      </c>
      <c r="C26" s="33" t="str">
        <f t="shared" si="3"/>
        <v>0</v>
      </c>
      <c r="D26" s="33" t="str">
        <f t="shared" si="4"/>
        <v>0</v>
      </c>
      <c r="E26" s="3"/>
      <c r="F26" s="9">
        <v>0</v>
      </c>
      <c r="G26" s="33">
        <v>0</v>
      </c>
      <c r="H26" s="33">
        <v>0</v>
      </c>
      <c r="I26" s="33">
        <v>0</v>
      </c>
      <c r="J26" s="34">
        <v>0</v>
      </c>
      <c r="K26" s="10">
        <v>0</v>
      </c>
      <c r="L26" s="9">
        <v>0</v>
      </c>
      <c r="M26" s="36">
        <v>0</v>
      </c>
      <c r="N26" s="33">
        <v>0</v>
      </c>
      <c r="O26" s="34">
        <v>0</v>
      </c>
      <c r="P26" s="9">
        <v>0</v>
      </c>
      <c r="Q26" s="36">
        <v>0</v>
      </c>
      <c r="R26" s="36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0</v>
      </c>
      <c r="AF26" s="33">
        <v>0</v>
      </c>
      <c r="AG26" s="33">
        <v>0</v>
      </c>
      <c r="AH26" s="33">
        <v>0</v>
      </c>
      <c r="AI26" s="33">
        <v>1</v>
      </c>
      <c r="AJ26" s="33">
        <v>1</v>
      </c>
      <c r="AK26" s="33">
        <v>0</v>
      </c>
    </row>
    <row r="27" spans="1:37" x14ac:dyDescent="0.3">
      <c r="A27" s="2" t="str">
        <f t="shared" si="5"/>
        <v>Ch</v>
      </c>
      <c r="B27" s="33" t="str">
        <f t="shared" si="2"/>
        <v>00001000</v>
      </c>
      <c r="C27" s="33" t="str">
        <f t="shared" si="3"/>
        <v>0</v>
      </c>
      <c r="D27" s="33" t="str">
        <f t="shared" si="4"/>
        <v>0</v>
      </c>
      <c r="E27" s="3"/>
      <c r="F27" s="9">
        <v>0</v>
      </c>
      <c r="G27" s="33">
        <v>0</v>
      </c>
      <c r="H27" s="33">
        <v>0</v>
      </c>
      <c r="I27" s="33">
        <v>0</v>
      </c>
      <c r="J27" s="34">
        <v>0</v>
      </c>
      <c r="K27" s="10">
        <v>0</v>
      </c>
      <c r="L27" s="9">
        <v>0</v>
      </c>
      <c r="M27" s="36">
        <v>0</v>
      </c>
      <c r="N27" s="33">
        <v>0</v>
      </c>
      <c r="O27" s="34">
        <v>0</v>
      </c>
      <c r="P27" s="9">
        <v>0</v>
      </c>
      <c r="Q27" s="36">
        <v>0</v>
      </c>
      <c r="R27" s="36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1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0</v>
      </c>
      <c r="AF27" s="33">
        <v>0</v>
      </c>
      <c r="AG27" s="33">
        <v>0</v>
      </c>
      <c r="AH27" s="33">
        <v>0</v>
      </c>
      <c r="AI27" s="33">
        <v>0</v>
      </c>
      <c r="AJ27" s="33">
        <v>0</v>
      </c>
      <c r="AK27" s="33">
        <v>0</v>
      </c>
    </row>
    <row r="28" spans="1:37" x14ac:dyDescent="0.3">
      <c r="A28" s="2" t="str">
        <f t="shared" si="5"/>
        <v>Dh</v>
      </c>
      <c r="B28" s="33" t="str">
        <f t="shared" si="2"/>
        <v>00001000</v>
      </c>
      <c r="C28" s="33" t="str">
        <f t="shared" si="3"/>
        <v>0</v>
      </c>
      <c r="D28" s="33" t="str">
        <f t="shared" si="4"/>
        <v>0</v>
      </c>
      <c r="E28" s="3"/>
      <c r="F28" s="9">
        <v>0</v>
      </c>
      <c r="G28" s="33">
        <v>0</v>
      </c>
      <c r="H28" s="33">
        <v>0</v>
      </c>
      <c r="I28" s="33">
        <v>0</v>
      </c>
      <c r="J28" s="34">
        <v>0</v>
      </c>
      <c r="K28" s="10">
        <v>0</v>
      </c>
      <c r="L28" s="9">
        <v>0</v>
      </c>
      <c r="M28" s="36">
        <v>0</v>
      </c>
      <c r="N28" s="33">
        <v>0</v>
      </c>
      <c r="O28" s="34">
        <v>0</v>
      </c>
      <c r="P28" s="9">
        <v>0</v>
      </c>
      <c r="Q28" s="36">
        <v>0</v>
      </c>
      <c r="R28" s="36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1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</row>
    <row r="29" spans="1:37" x14ac:dyDescent="0.3">
      <c r="A29" s="2" t="str">
        <f>DEC2HEX(HEX2DEC(LEFT(A28,LEN(A28)-1))+1)&amp;"h"</f>
        <v>Eh</v>
      </c>
      <c r="B29" s="33" t="str">
        <f t="shared" si="2"/>
        <v>50404060</v>
      </c>
      <c r="C29" s="33" t="str">
        <f t="shared" si="3"/>
        <v>14</v>
      </c>
      <c r="D29" s="33" t="str">
        <f t="shared" si="4"/>
        <v>1</v>
      </c>
      <c r="E29" s="3"/>
      <c r="F29" s="9">
        <v>0</v>
      </c>
      <c r="G29" s="33">
        <v>1</v>
      </c>
      <c r="H29" s="33">
        <v>0</v>
      </c>
      <c r="I29" s="33">
        <v>1</v>
      </c>
      <c r="J29" s="34">
        <v>0</v>
      </c>
      <c r="K29" s="10">
        <v>0</v>
      </c>
      <c r="L29" s="9">
        <v>0</v>
      </c>
      <c r="M29" s="36">
        <v>0</v>
      </c>
      <c r="N29" s="33">
        <v>0</v>
      </c>
      <c r="O29" s="34">
        <v>1</v>
      </c>
      <c r="P29" s="9">
        <v>0</v>
      </c>
      <c r="Q29" s="36">
        <v>0</v>
      </c>
      <c r="R29" s="36">
        <v>0</v>
      </c>
      <c r="S29" s="33">
        <v>0</v>
      </c>
      <c r="T29" s="33">
        <v>0</v>
      </c>
      <c r="U29" s="33">
        <v>0</v>
      </c>
      <c r="V29" s="33">
        <v>0</v>
      </c>
      <c r="W29" s="33">
        <v>1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1</v>
      </c>
      <c r="AF29" s="33">
        <v>1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</row>
    <row r="30" spans="1:37" x14ac:dyDescent="0.3">
      <c r="A30" s="2" t="str">
        <f>DEC2HEX(HEX2DEC(LEFT(A29,LEN(A29)-1))+1)&amp;"h"</f>
        <v>Fh</v>
      </c>
      <c r="B30" s="33" t="str">
        <f t="shared" si="2"/>
        <v>0000006E</v>
      </c>
      <c r="C30" s="33" t="str">
        <f t="shared" si="3"/>
        <v>0</v>
      </c>
      <c r="D30" s="33" t="str">
        <f t="shared" si="4"/>
        <v>0</v>
      </c>
      <c r="E30" s="3"/>
      <c r="F30" s="9">
        <v>0</v>
      </c>
      <c r="G30" s="33">
        <v>0</v>
      </c>
      <c r="H30" s="33">
        <v>0</v>
      </c>
      <c r="I30" s="33">
        <v>0</v>
      </c>
      <c r="J30" s="34">
        <v>0</v>
      </c>
      <c r="K30" s="10">
        <v>0</v>
      </c>
      <c r="L30" s="9">
        <v>0</v>
      </c>
      <c r="M30" s="36">
        <v>0</v>
      </c>
      <c r="N30" s="33">
        <v>0</v>
      </c>
      <c r="O30" s="34">
        <v>0</v>
      </c>
      <c r="P30" s="9">
        <v>0</v>
      </c>
      <c r="Q30" s="36">
        <v>0</v>
      </c>
      <c r="R30" s="36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1</v>
      </c>
      <c r="AF30" s="33">
        <v>1</v>
      </c>
      <c r="AG30" s="33">
        <v>0</v>
      </c>
      <c r="AH30" s="33">
        <v>1</v>
      </c>
      <c r="AI30" s="33">
        <v>1</v>
      </c>
      <c r="AJ30" s="33">
        <v>1</v>
      </c>
      <c r="AK30" s="33">
        <v>0</v>
      </c>
    </row>
    <row r="31" spans="1:37" x14ac:dyDescent="0.3">
      <c r="A31" s="2" t="str">
        <f t="shared" ref="A31:A41" si="6">DEC2HEX(HEX2DEC(LEFT(A30,LEN(A30)-1))+1)&amp;"h"</f>
        <v>10h</v>
      </c>
      <c r="B31" s="33" t="str">
        <f t="shared" si="2"/>
        <v>00002000</v>
      </c>
      <c r="C31" s="33" t="str">
        <f t="shared" si="3"/>
        <v>0</v>
      </c>
      <c r="D31" s="33" t="str">
        <f t="shared" si="4"/>
        <v>0</v>
      </c>
      <c r="E31" s="3"/>
      <c r="F31" s="9">
        <v>0</v>
      </c>
      <c r="G31" s="33">
        <v>0</v>
      </c>
      <c r="H31" s="33">
        <v>0</v>
      </c>
      <c r="I31" s="33">
        <v>0</v>
      </c>
      <c r="J31" s="34">
        <v>0</v>
      </c>
      <c r="K31" s="10">
        <v>0</v>
      </c>
      <c r="L31" s="9">
        <v>0</v>
      </c>
      <c r="M31" s="36">
        <v>0</v>
      </c>
      <c r="N31" s="33">
        <v>0</v>
      </c>
      <c r="O31" s="34">
        <v>0</v>
      </c>
      <c r="P31" s="9">
        <v>0</v>
      </c>
      <c r="Q31" s="36">
        <v>0</v>
      </c>
      <c r="R31" s="36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1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</row>
    <row r="32" spans="1:37" x14ac:dyDescent="0.3">
      <c r="A32" s="2" t="str">
        <f t="shared" si="6"/>
        <v>11h</v>
      </c>
      <c r="B32" s="33" t="str">
        <f t="shared" si="2"/>
        <v>00002000</v>
      </c>
      <c r="C32" s="33" t="str">
        <f t="shared" si="3"/>
        <v>0</v>
      </c>
      <c r="D32" s="33" t="str">
        <f t="shared" si="4"/>
        <v>0</v>
      </c>
      <c r="E32" s="3"/>
      <c r="F32" s="9">
        <v>0</v>
      </c>
      <c r="G32" s="33">
        <v>0</v>
      </c>
      <c r="H32" s="33">
        <v>0</v>
      </c>
      <c r="I32" s="33">
        <v>0</v>
      </c>
      <c r="J32" s="34">
        <v>0</v>
      </c>
      <c r="K32" s="10">
        <v>0</v>
      </c>
      <c r="L32" s="9">
        <v>0</v>
      </c>
      <c r="M32" s="36">
        <v>0</v>
      </c>
      <c r="N32" s="33">
        <v>0</v>
      </c>
      <c r="O32" s="34">
        <v>0</v>
      </c>
      <c r="P32" s="9">
        <v>0</v>
      </c>
      <c r="Q32" s="36">
        <v>0</v>
      </c>
      <c r="R32" s="36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1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33">
        <v>0</v>
      </c>
      <c r="AF32" s="33">
        <v>0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</row>
    <row r="33" spans="1:37" x14ac:dyDescent="0.3">
      <c r="A33" s="2" t="str">
        <f t="shared" si="6"/>
        <v>12h</v>
      </c>
      <c r="B33" s="33" t="str">
        <f>BIN2HEX(
IF(ISBLANK(F33),0,F33)&amp;
IF(ISBLANK(G33),0,G33)&amp;
IF(ISBLANK(H33),0,H33)&amp;
IF(ISBLANK(I33),0,I33)&amp;
IF(ISBLANK(J33),0,J33)&amp;
IF(ISBLANK(K33),0,K33)&amp;
IF(ISBLANK(L33),0,L33)&amp;
IF(ISBLANK(M33),0,M33),2)&amp;
BIN2HEX(
IF(ISBLANK(N33),0,N33)&amp;
IF(ISBLANK(O33),0,O33)&amp;
IF(ISBLANK(P33),0,P33) &amp;
IF(ISBLANK(Q33),0,Q33)&amp;
IF(ISBLANK(R33),0,R33) &amp;
IF(ISBLANK(S33),0,S33) &amp;
IF(ISBLANK(T33),0,T33)&amp;
IF(ISBLANK(U33),0,U33),2)&amp;
BIN2HEX(
IF(ISBLANK(V33),0,V33)&amp;
IF(ISBLANK(W33),0,W33) &amp;
IF(ISBLANK(X33),0,X33)&amp;
IF(ISBLANK(Y33),0,Y33) &amp;
IF(ISBLANK(Z33),0,Z33) &amp;
IF(ISBLANK(AA33),0,AA33)&amp;
IF(ISBLANK(AB33),0,AB33)&amp;
IF(ISBLANK(AC33),0,AC33),2)&amp;
BIN2HEX(
IF(ISBLANK(AD33),0,AD33) &amp;
IF(ISBLANK(AE33),0,AE33)&amp;
IF(ISBLANK(AF33),0,AF33)&amp;
IF(ISBLANK(AG33),0,AG33) &amp;
IF(ISBLANK(AH33),0,AH33)&amp;
IF(ISBLANK(AI33),0,AI33)&amp;
IF(ISBLANK(AJ33),0,AJ33)&amp;
IF(ISBLANK(AK33),0,AK33),2)</f>
        <v>50404000</v>
      </c>
      <c r="C33" s="33" t="str">
        <f t="shared" si="3"/>
        <v>14</v>
      </c>
      <c r="D33" s="33" t="str">
        <f t="shared" si="4"/>
        <v>1</v>
      </c>
      <c r="E33" s="3"/>
      <c r="F33" s="9">
        <v>0</v>
      </c>
      <c r="G33" s="33">
        <v>1</v>
      </c>
      <c r="H33" s="33">
        <v>0</v>
      </c>
      <c r="I33" s="33">
        <v>1</v>
      </c>
      <c r="J33" s="34">
        <v>0</v>
      </c>
      <c r="K33" s="10">
        <v>0</v>
      </c>
      <c r="L33" s="9">
        <v>0</v>
      </c>
      <c r="M33" s="36">
        <v>0</v>
      </c>
      <c r="N33" s="33">
        <v>0</v>
      </c>
      <c r="O33" s="34">
        <v>1</v>
      </c>
      <c r="P33" s="9">
        <v>0</v>
      </c>
      <c r="Q33" s="36">
        <v>0</v>
      </c>
      <c r="R33" s="36">
        <v>0</v>
      </c>
      <c r="S33" s="33">
        <v>0</v>
      </c>
      <c r="T33" s="33">
        <v>0</v>
      </c>
      <c r="U33" s="33">
        <v>0</v>
      </c>
      <c r="V33" s="33">
        <v>0</v>
      </c>
      <c r="W33" s="33">
        <v>1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33">
        <v>0</v>
      </c>
      <c r="AG33" s="33">
        <v>0</v>
      </c>
      <c r="AH33" s="33">
        <v>0</v>
      </c>
      <c r="AI33" s="33">
        <v>0</v>
      </c>
      <c r="AJ33" s="33">
        <v>0</v>
      </c>
      <c r="AK33" s="33">
        <v>0</v>
      </c>
    </row>
    <row r="34" spans="1:37" x14ac:dyDescent="0.3">
      <c r="A34" s="2" t="str">
        <f t="shared" si="6"/>
        <v>13h</v>
      </c>
      <c r="B34" s="33" t="str">
        <f t="shared" si="2"/>
        <v>00000050</v>
      </c>
      <c r="C34" s="33" t="str">
        <f t="shared" si="3"/>
        <v>0</v>
      </c>
      <c r="D34" s="33" t="str">
        <f t="shared" si="4"/>
        <v>0</v>
      </c>
      <c r="E34" s="3"/>
      <c r="F34" s="9">
        <v>0</v>
      </c>
      <c r="G34" s="33">
        <v>0</v>
      </c>
      <c r="H34" s="33">
        <v>0</v>
      </c>
      <c r="I34" s="33">
        <v>0</v>
      </c>
      <c r="J34" s="34">
        <v>0</v>
      </c>
      <c r="K34" s="10">
        <v>0</v>
      </c>
      <c r="L34" s="9">
        <v>0</v>
      </c>
      <c r="M34" s="36">
        <v>0</v>
      </c>
      <c r="N34" s="33">
        <v>0</v>
      </c>
      <c r="O34" s="34">
        <v>0</v>
      </c>
      <c r="P34" s="9">
        <v>0</v>
      </c>
      <c r="Q34" s="36">
        <v>0</v>
      </c>
      <c r="R34" s="36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33">
        <v>1</v>
      </c>
      <c r="AF34" s="33">
        <v>0</v>
      </c>
      <c r="AG34" s="33">
        <v>1</v>
      </c>
      <c r="AH34" s="33">
        <v>0</v>
      </c>
      <c r="AI34" s="33">
        <v>0</v>
      </c>
      <c r="AJ34" s="33">
        <v>0</v>
      </c>
      <c r="AK34" s="33">
        <v>0</v>
      </c>
    </row>
    <row r="35" spans="1:37" x14ac:dyDescent="0.3">
      <c r="A35" s="2" t="str">
        <f t="shared" si="6"/>
        <v>14h</v>
      </c>
      <c r="B35" s="33" t="str">
        <f t="shared" si="2"/>
        <v>68C00000</v>
      </c>
      <c r="C35" s="33" t="str">
        <f t="shared" si="3"/>
        <v>1A</v>
      </c>
      <c r="D35" s="33" t="str">
        <f t="shared" si="4"/>
        <v>3</v>
      </c>
      <c r="E35" s="3"/>
      <c r="F35" s="9">
        <v>0</v>
      </c>
      <c r="G35" s="33">
        <v>1</v>
      </c>
      <c r="H35" s="33">
        <v>1</v>
      </c>
      <c r="I35" s="33">
        <v>0</v>
      </c>
      <c r="J35" s="34">
        <v>1</v>
      </c>
      <c r="K35" s="10">
        <v>0</v>
      </c>
      <c r="L35" s="9">
        <v>0</v>
      </c>
      <c r="M35" s="36">
        <v>0</v>
      </c>
      <c r="N35" s="33">
        <v>1</v>
      </c>
      <c r="O35" s="34">
        <v>1</v>
      </c>
      <c r="P35" s="9">
        <v>0</v>
      </c>
      <c r="Q35" s="36">
        <v>0</v>
      </c>
      <c r="R35" s="36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33">
        <v>0</v>
      </c>
      <c r="AF35" s="33">
        <v>0</v>
      </c>
      <c r="AG35" s="33">
        <v>0</v>
      </c>
      <c r="AH35" s="33">
        <v>0</v>
      </c>
      <c r="AI35" s="33">
        <v>0</v>
      </c>
      <c r="AJ35" s="33">
        <v>0</v>
      </c>
      <c r="AK35" s="33">
        <v>0</v>
      </c>
    </row>
    <row r="36" spans="1:37" x14ac:dyDescent="0.3">
      <c r="A36" s="2" t="str">
        <f t="shared" si="6"/>
        <v>15h</v>
      </c>
      <c r="B36" s="33" t="str">
        <f t="shared" si="2"/>
        <v>55000180</v>
      </c>
      <c r="C36" s="33" t="str">
        <f t="shared" si="3"/>
        <v>15</v>
      </c>
      <c r="D36" s="33" t="str">
        <f t="shared" si="4"/>
        <v>4</v>
      </c>
      <c r="E36" s="3"/>
      <c r="F36" s="9">
        <v>0</v>
      </c>
      <c r="G36" s="33">
        <v>1</v>
      </c>
      <c r="H36" s="33">
        <v>0</v>
      </c>
      <c r="I36" s="33">
        <v>1</v>
      </c>
      <c r="J36" s="34">
        <v>0</v>
      </c>
      <c r="K36" s="10">
        <v>1</v>
      </c>
      <c r="L36" s="9">
        <v>0</v>
      </c>
      <c r="M36" s="36">
        <v>1</v>
      </c>
      <c r="N36" s="33">
        <v>0</v>
      </c>
      <c r="O36" s="34">
        <v>0</v>
      </c>
      <c r="P36" s="9">
        <v>0</v>
      </c>
      <c r="Q36" s="36">
        <v>0</v>
      </c>
      <c r="R36" s="36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1</v>
      </c>
      <c r="AD36" s="33">
        <v>1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3">
        <v>0</v>
      </c>
      <c r="AK36" s="33">
        <v>0</v>
      </c>
    </row>
    <row r="37" spans="1:37" x14ac:dyDescent="0.3">
      <c r="A37" s="2" t="str">
        <f t="shared" si="6"/>
        <v>16h</v>
      </c>
      <c r="B37" s="33" t="str">
        <f t="shared" si="2"/>
        <v>00000A00</v>
      </c>
      <c r="C37" s="33" t="str">
        <f t="shared" si="3"/>
        <v>0</v>
      </c>
      <c r="D37" s="33" t="str">
        <f t="shared" si="4"/>
        <v>0</v>
      </c>
      <c r="E37" s="3"/>
      <c r="F37" s="9">
        <v>0</v>
      </c>
      <c r="G37" s="33">
        <v>0</v>
      </c>
      <c r="H37" s="33">
        <v>0</v>
      </c>
      <c r="I37" s="33">
        <v>0</v>
      </c>
      <c r="J37" s="34">
        <v>0</v>
      </c>
      <c r="K37" s="10">
        <v>0</v>
      </c>
      <c r="L37" s="9">
        <v>0</v>
      </c>
      <c r="M37" s="36">
        <v>0</v>
      </c>
      <c r="N37" s="33">
        <v>0</v>
      </c>
      <c r="O37" s="34">
        <v>0</v>
      </c>
      <c r="P37" s="9">
        <v>0</v>
      </c>
      <c r="Q37" s="36">
        <v>0</v>
      </c>
      <c r="R37" s="36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1</v>
      </c>
      <c r="AA37" s="33">
        <v>0</v>
      </c>
      <c r="AB37" s="33">
        <v>1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</row>
    <row r="38" spans="1:37" x14ac:dyDescent="0.3">
      <c r="A38" s="2" t="str">
        <f t="shared" si="6"/>
        <v>17h</v>
      </c>
      <c r="B38" s="33" t="str">
        <f t="shared" si="2"/>
        <v>5D000180</v>
      </c>
      <c r="C38" s="33" t="str">
        <f t="shared" si="3"/>
        <v>17</v>
      </c>
      <c r="D38" s="33" t="str">
        <f t="shared" si="4"/>
        <v>4</v>
      </c>
      <c r="E38" s="3"/>
      <c r="F38" s="9">
        <v>0</v>
      </c>
      <c r="G38" s="33">
        <v>1</v>
      </c>
      <c r="H38" s="33">
        <v>0</v>
      </c>
      <c r="I38" s="33">
        <v>1</v>
      </c>
      <c r="J38" s="34">
        <v>1</v>
      </c>
      <c r="K38" s="10">
        <v>1</v>
      </c>
      <c r="L38" s="9">
        <v>0</v>
      </c>
      <c r="M38" s="36">
        <v>1</v>
      </c>
      <c r="N38" s="33">
        <v>0</v>
      </c>
      <c r="O38" s="34">
        <v>0</v>
      </c>
      <c r="P38" s="9">
        <v>0</v>
      </c>
      <c r="Q38" s="36">
        <v>0</v>
      </c>
      <c r="R38" s="36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  <c r="AC38" s="33">
        <v>1</v>
      </c>
      <c r="AD38" s="33">
        <v>1</v>
      </c>
      <c r="AE38" s="33">
        <v>0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</row>
    <row r="39" spans="1:37" x14ac:dyDescent="0.3">
      <c r="A39" s="2" t="str">
        <f t="shared" si="6"/>
        <v>18h</v>
      </c>
      <c r="B39" s="33" t="str">
        <f t="shared" si="2"/>
        <v>00000400</v>
      </c>
      <c r="C39" s="33" t="str">
        <f t="shared" si="3"/>
        <v>0</v>
      </c>
      <c r="D39" s="33" t="str">
        <f t="shared" si="4"/>
        <v>0</v>
      </c>
      <c r="E39" s="3"/>
      <c r="F39" s="9">
        <v>0</v>
      </c>
      <c r="G39" s="33">
        <v>0</v>
      </c>
      <c r="H39" s="33">
        <v>0</v>
      </c>
      <c r="I39" s="33">
        <v>0</v>
      </c>
      <c r="J39" s="34">
        <v>0</v>
      </c>
      <c r="K39" s="10">
        <v>0</v>
      </c>
      <c r="L39" s="9">
        <v>0</v>
      </c>
      <c r="M39" s="36">
        <v>0</v>
      </c>
      <c r="N39" s="33">
        <v>0</v>
      </c>
      <c r="O39" s="34">
        <v>0</v>
      </c>
      <c r="P39" s="9">
        <v>0</v>
      </c>
      <c r="Q39" s="36">
        <v>0</v>
      </c>
      <c r="R39" s="36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1</v>
      </c>
      <c r="AB39" s="33">
        <v>0</v>
      </c>
      <c r="AC39" s="33">
        <v>0</v>
      </c>
      <c r="AD39" s="33">
        <v>0</v>
      </c>
      <c r="AE39" s="33">
        <v>0</v>
      </c>
      <c r="AF39" s="33">
        <v>0</v>
      </c>
      <c r="AG39" s="33">
        <v>0</v>
      </c>
      <c r="AH39" s="33">
        <v>0</v>
      </c>
      <c r="AI39" s="33">
        <v>0</v>
      </c>
      <c r="AJ39" s="33">
        <v>0</v>
      </c>
      <c r="AK39" s="33">
        <v>0</v>
      </c>
    </row>
    <row r="40" spans="1:37" x14ac:dyDescent="0.3">
      <c r="A40" s="2" t="str">
        <f t="shared" si="6"/>
        <v>19h</v>
      </c>
      <c r="B40" s="33" t="str">
        <f t="shared" si="2"/>
        <v>00000004</v>
      </c>
      <c r="C40" s="33" t="str">
        <f t="shared" si="3"/>
        <v>0</v>
      </c>
      <c r="D40" s="33" t="str">
        <f t="shared" si="4"/>
        <v>0</v>
      </c>
      <c r="E40" s="3"/>
      <c r="F40" s="9">
        <v>0</v>
      </c>
      <c r="G40" s="33">
        <v>0</v>
      </c>
      <c r="H40" s="33">
        <v>0</v>
      </c>
      <c r="I40" s="33">
        <v>0</v>
      </c>
      <c r="J40" s="34">
        <v>0</v>
      </c>
      <c r="K40" s="10">
        <v>0</v>
      </c>
      <c r="L40" s="9">
        <v>0</v>
      </c>
      <c r="M40" s="36">
        <v>0</v>
      </c>
      <c r="N40" s="33">
        <v>0</v>
      </c>
      <c r="O40" s="34">
        <v>0</v>
      </c>
      <c r="P40" s="9">
        <v>0</v>
      </c>
      <c r="Q40" s="36">
        <v>0</v>
      </c>
      <c r="R40" s="36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3">
        <v>0</v>
      </c>
      <c r="AH40" s="33">
        <v>0</v>
      </c>
      <c r="AI40" s="33">
        <v>1</v>
      </c>
      <c r="AJ40" s="33">
        <v>0</v>
      </c>
      <c r="AK40" s="33">
        <v>0</v>
      </c>
    </row>
    <row r="41" spans="1:37" x14ac:dyDescent="0.3">
      <c r="A41" s="33" t="str">
        <f t="shared" si="6"/>
        <v>1Ah</v>
      </c>
      <c r="B41" s="33" t="str">
        <f t="shared" ref="B41" si="7">BIN2HEX(
IF(ISBLANK(F41),0,F41)&amp;
IF(ISBLANK(G41),0,G41)&amp;
IF(ISBLANK(H41),0,H41)&amp;
IF(ISBLANK(I41),0,I41)&amp;
IF(ISBLANK(J41),0,J41)&amp;
IF(ISBLANK(K41),0,K41)&amp;
IF(ISBLANK(L41),0,L41)&amp;
IF(ISBLANK(M41),0,M41),2)&amp;
BIN2HEX(
IF(ISBLANK(N41),0,N41)&amp;
IF(ISBLANK(O41),0,O41)&amp;
IF(ISBLANK(P41),0,P41) &amp;
IF(ISBLANK(Q41),0,Q41)&amp;
IF(ISBLANK(R41),0,R41) &amp;
IF(ISBLANK(S41),0,S41) &amp;
IF(ISBLANK(T41),0,T41)&amp;
IF(ISBLANK(U41),0,U41),2)&amp;
BIN2HEX(
IF(ISBLANK(V41),0,V41)&amp;
IF(ISBLANK(W41),0,W41) &amp;
IF(ISBLANK(X41),0,X41)&amp;
IF(ISBLANK(Y41),0,Y41) &amp;
IF(ISBLANK(Z41),0,Z41) &amp;
IF(ISBLANK(AA41),0,AA41)&amp;
IF(ISBLANK(AB41),0,AB41)&amp;
IF(ISBLANK(AC41),0,AC41),2)&amp;
BIN2HEX(
IF(ISBLANK(AD41),0,AD41) &amp;
IF(ISBLANK(AE41),0,AE41)&amp;
IF(ISBLANK(AF41),0,AF41)&amp;
IF(ISBLANK(AG41),0,AG41) &amp;
IF(ISBLANK(AH41),0,AH41)&amp;
IF(ISBLANK(AI41),0,AI41)&amp;
IF(ISBLANK(AJ41),0,AJ41)&amp;
IF(ISBLANK(AK41),0,AK41),2)</f>
        <v>00418000</v>
      </c>
      <c r="C41" s="33" t="str">
        <f t="shared" ref="C41" si="8">BIN2HEX(
IF(ISBLANK(F41),0,F41) &amp;
IF(ISBLANK(G41),0,G41)&amp;
IF(ISBLANK(H41),0,H41)&amp;
IF(ISBLANK(I41),0,I41)&amp;
IF(ISBLANK(J41),0,J41)&amp;
IF(ISBLANK(K41),0,K41))</f>
        <v>0</v>
      </c>
      <c r="D41" s="33" t="str">
        <f t="shared" ref="D41" si="9">BIN2HEX(
IF(ISBLANK(L41),0,L41) &amp;
IF(ISBLANK(M41),0,M41)&amp;
IF(ISBLANK(N41),0,N41)&amp;
IF(ISBLANK(O41),0,O41))</f>
        <v>1</v>
      </c>
      <c r="E41" s="34"/>
      <c r="F41" s="9">
        <v>0</v>
      </c>
      <c r="G41" s="33">
        <v>0</v>
      </c>
      <c r="H41" s="33">
        <v>0</v>
      </c>
      <c r="I41" s="33">
        <v>0</v>
      </c>
      <c r="J41" s="34">
        <v>0</v>
      </c>
      <c r="K41" s="10">
        <v>0</v>
      </c>
      <c r="L41" s="9">
        <v>0</v>
      </c>
      <c r="M41" s="36">
        <v>0</v>
      </c>
      <c r="N41" s="33">
        <v>0</v>
      </c>
      <c r="O41" s="34">
        <v>1</v>
      </c>
      <c r="P41" s="9">
        <v>0</v>
      </c>
      <c r="Q41" s="36">
        <v>0</v>
      </c>
      <c r="R41" s="36">
        <v>0</v>
      </c>
      <c r="S41" s="33">
        <v>0</v>
      </c>
      <c r="T41" s="33">
        <v>0</v>
      </c>
      <c r="U41" s="33">
        <v>1</v>
      </c>
      <c r="V41" s="33">
        <v>1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33">
        <v>0</v>
      </c>
      <c r="AF41" s="33">
        <v>0</v>
      </c>
      <c r="AG41" s="33">
        <v>0</v>
      </c>
      <c r="AH41" s="33">
        <v>0</v>
      </c>
      <c r="AI41" s="33">
        <v>0</v>
      </c>
      <c r="AJ41" s="33">
        <v>0</v>
      </c>
      <c r="AK41" s="33">
        <v>0</v>
      </c>
    </row>
  </sheetData>
  <mergeCells count="18">
    <mergeCell ref="A5:C5"/>
    <mergeCell ref="A1:C1"/>
    <mergeCell ref="A2:C2"/>
    <mergeCell ref="A4:C4"/>
    <mergeCell ref="E1:H1"/>
    <mergeCell ref="E4:H4"/>
    <mergeCell ref="F14:K14"/>
    <mergeCell ref="L14:O14"/>
    <mergeCell ref="A6:C6"/>
    <mergeCell ref="A7:C7"/>
    <mergeCell ref="A9:C9"/>
    <mergeCell ref="A10:C10"/>
    <mergeCell ref="A13:A14"/>
    <mergeCell ref="B13:B14"/>
    <mergeCell ref="C13:C14"/>
    <mergeCell ref="D13:D14"/>
    <mergeCell ref="E13:E14"/>
    <mergeCell ref="E9:H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9A41-F725-4F96-A3E8-14ED24F01E40}">
  <dimension ref="A1:BN110"/>
  <sheetViews>
    <sheetView workbookViewId="0">
      <pane ySplit="16" topLeftCell="A17" activePane="bottomLeft" state="frozen"/>
      <selection pane="bottomLeft" sqref="A1:D1"/>
    </sheetView>
  </sheetViews>
  <sheetFormatPr defaultColWidth="8.88671875" defaultRowHeight="14.4" x14ac:dyDescent="0.3"/>
  <cols>
    <col min="1" max="1" width="8.88671875" style="1"/>
    <col min="2" max="3" width="11.109375" style="1" customWidth="1"/>
    <col min="4" max="16384" width="8.88671875" style="1"/>
  </cols>
  <sheetData>
    <row r="1" spans="1:66" x14ac:dyDescent="0.3">
      <c r="A1" s="43" t="s">
        <v>0</v>
      </c>
      <c r="B1" s="43"/>
      <c r="C1" s="43"/>
      <c r="D1" s="43"/>
      <c r="E1" s="18" t="s">
        <v>1</v>
      </c>
      <c r="F1" s="43" t="s">
        <v>2</v>
      </c>
      <c r="G1" s="43"/>
      <c r="H1" s="43"/>
      <c r="I1" s="43"/>
    </row>
    <row r="2" spans="1:66" x14ac:dyDescent="0.3">
      <c r="A2" s="44" t="s">
        <v>3</v>
      </c>
      <c r="B2" s="44"/>
      <c r="C2" s="44"/>
      <c r="D2" s="44"/>
      <c r="E2" s="21" t="str">
        <f>BIN2HEX(F2&amp;G2&amp;H2&amp;I2)</f>
        <v>1</v>
      </c>
      <c r="F2" s="33">
        <v>0</v>
      </c>
      <c r="G2" s="33">
        <v>0</v>
      </c>
      <c r="H2" s="33">
        <v>0</v>
      </c>
      <c r="I2" s="38">
        <v>1</v>
      </c>
    </row>
    <row r="3" spans="1:66" x14ac:dyDescent="0.3">
      <c r="I3" s="16"/>
    </row>
    <row r="4" spans="1:66" x14ac:dyDescent="0.3">
      <c r="A4" s="43" t="s">
        <v>4</v>
      </c>
      <c r="B4" s="43"/>
      <c r="C4" s="43"/>
      <c r="D4" s="43"/>
      <c r="E4" s="18" t="s">
        <v>1</v>
      </c>
      <c r="F4" s="43" t="s">
        <v>2</v>
      </c>
      <c r="G4" s="43"/>
      <c r="H4" s="43"/>
      <c r="I4" s="43"/>
    </row>
    <row r="5" spans="1:66" x14ac:dyDescent="0.3">
      <c r="A5" s="44" t="s">
        <v>45</v>
      </c>
      <c r="B5" s="44"/>
      <c r="C5" s="44"/>
      <c r="D5" s="44"/>
      <c r="E5" s="21" t="str">
        <f>BIN2HEX(F5&amp;G5&amp;H5&amp;I5)</f>
        <v>2</v>
      </c>
      <c r="F5" s="33">
        <v>0</v>
      </c>
      <c r="G5" s="33">
        <v>0</v>
      </c>
      <c r="H5" s="33">
        <v>1</v>
      </c>
      <c r="I5" s="38">
        <v>0</v>
      </c>
    </row>
    <row r="6" spans="1:66" x14ac:dyDescent="0.3">
      <c r="A6" s="44" t="s">
        <v>48</v>
      </c>
      <c r="B6" s="44"/>
      <c r="C6" s="44"/>
      <c r="D6" s="44"/>
      <c r="E6" s="33" t="str">
        <f t="shared" ref="E6:E9" si="0">BIN2HEX(F6&amp;G6&amp;H6&amp;I6)</f>
        <v>3</v>
      </c>
      <c r="F6" s="33">
        <v>0</v>
      </c>
      <c r="G6" s="33">
        <v>0</v>
      </c>
      <c r="H6" s="33">
        <v>1</v>
      </c>
      <c r="I6" s="38">
        <v>1</v>
      </c>
    </row>
    <row r="7" spans="1:66" x14ac:dyDescent="0.3">
      <c r="A7" s="49" t="s">
        <v>49</v>
      </c>
      <c r="B7" s="50"/>
      <c r="C7" s="50"/>
      <c r="D7" s="51"/>
      <c r="E7" s="33" t="str">
        <f t="shared" si="0"/>
        <v>4</v>
      </c>
      <c r="F7" s="33">
        <v>0</v>
      </c>
      <c r="G7" s="33">
        <v>1</v>
      </c>
      <c r="H7" s="33">
        <v>0</v>
      </c>
      <c r="I7" s="38">
        <v>0</v>
      </c>
    </row>
    <row r="8" spans="1:66" x14ac:dyDescent="0.3">
      <c r="A8" s="49" t="s">
        <v>50</v>
      </c>
      <c r="B8" s="50"/>
      <c r="C8" s="50"/>
      <c r="D8" s="51"/>
      <c r="E8" s="33" t="str">
        <f t="shared" si="0"/>
        <v>5</v>
      </c>
      <c r="F8" s="33">
        <v>0</v>
      </c>
      <c r="G8" s="33">
        <v>1</v>
      </c>
      <c r="H8" s="33">
        <v>0</v>
      </c>
      <c r="I8" s="38">
        <v>1</v>
      </c>
    </row>
    <row r="9" spans="1:66" x14ac:dyDescent="0.3">
      <c r="A9" s="44" t="s">
        <v>11</v>
      </c>
      <c r="B9" s="44"/>
      <c r="C9" s="44"/>
      <c r="D9" s="44"/>
      <c r="E9" s="33" t="str">
        <f t="shared" si="0"/>
        <v>6</v>
      </c>
      <c r="F9" s="33">
        <v>0</v>
      </c>
      <c r="G9" s="33">
        <v>1</v>
      </c>
      <c r="H9" s="33">
        <v>1</v>
      </c>
      <c r="I9" s="38">
        <v>0</v>
      </c>
    </row>
    <row r="10" spans="1:66" x14ac:dyDescent="0.3">
      <c r="I10" s="16"/>
    </row>
    <row r="11" spans="1:66" x14ac:dyDescent="0.3">
      <c r="A11" s="43" t="s">
        <v>35</v>
      </c>
      <c r="B11" s="43"/>
      <c r="C11" s="43"/>
      <c r="D11" s="43"/>
      <c r="E11" s="18" t="s">
        <v>1</v>
      </c>
      <c r="F11" s="43" t="s">
        <v>2</v>
      </c>
      <c r="G11" s="43"/>
      <c r="H11" s="43"/>
      <c r="I11" s="43"/>
    </row>
    <row r="12" spans="1:66" x14ac:dyDescent="0.3">
      <c r="A12" s="44" t="s">
        <v>47</v>
      </c>
      <c r="B12" s="44"/>
      <c r="C12" s="44"/>
      <c r="D12" s="44"/>
      <c r="E12" s="21" t="str">
        <f>BIN2HEX(F12&amp;G12&amp;H12&amp;I12)</f>
        <v>7</v>
      </c>
      <c r="F12" s="33">
        <v>0</v>
      </c>
      <c r="G12" s="33">
        <v>1</v>
      </c>
      <c r="H12" s="33">
        <v>1</v>
      </c>
      <c r="I12" s="38">
        <v>1</v>
      </c>
    </row>
    <row r="15" spans="1:66" x14ac:dyDescent="0.3">
      <c r="A15" s="43" t="s">
        <v>15</v>
      </c>
      <c r="B15" s="43" t="s">
        <v>16</v>
      </c>
      <c r="C15" s="43" t="s">
        <v>16</v>
      </c>
      <c r="D15" s="43" t="s">
        <v>17</v>
      </c>
      <c r="E15" s="43" t="s">
        <v>18</v>
      </c>
      <c r="F15" s="46" t="s">
        <v>19</v>
      </c>
      <c r="G15" s="17">
        <v>59</v>
      </c>
      <c r="H15" s="32">
        <v>58</v>
      </c>
      <c r="I15" s="32">
        <v>57</v>
      </c>
      <c r="J15" s="32">
        <v>56</v>
      </c>
      <c r="K15" s="32">
        <v>55</v>
      </c>
      <c r="L15" s="20">
        <v>54</v>
      </c>
      <c r="M15" s="20">
        <v>53</v>
      </c>
      <c r="N15" s="19">
        <v>52</v>
      </c>
      <c r="O15" s="17">
        <v>51</v>
      </c>
      <c r="P15" s="8">
        <v>50</v>
      </c>
      <c r="Q15" s="18">
        <v>49</v>
      </c>
      <c r="R15" s="19">
        <v>48</v>
      </c>
      <c r="S15" s="37">
        <v>47</v>
      </c>
      <c r="T15" s="31">
        <v>46</v>
      </c>
      <c r="U15" s="31">
        <v>45</v>
      </c>
      <c r="V15" s="8">
        <v>44</v>
      </c>
      <c r="W15" s="31">
        <v>43</v>
      </c>
      <c r="X15" s="8">
        <v>42</v>
      </c>
      <c r="Y15" s="31">
        <v>41</v>
      </c>
      <c r="Z15" s="8">
        <v>40</v>
      </c>
      <c r="AA15" s="31">
        <v>39</v>
      </c>
      <c r="AB15" s="8">
        <v>38</v>
      </c>
      <c r="AC15" s="18">
        <v>37</v>
      </c>
      <c r="AD15" s="8">
        <v>36</v>
      </c>
      <c r="AE15" s="18">
        <v>35</v>
      </c>
      <c r="AF15" s="8">
        <v>34</v>
      </c>
      <c r="AG15" s="18">
        <v>33</v>
      </c>
      <c r="AH15" s="8">
        <v>32</v>
      </c>
      <c r="AI15" s="18">
        <v>31</v>
      </c>
      <c r="AJ15" s="8">
        <v>30</v>
      </c>
      <c r="AK15" s="18">
        <v>29</v>
      </c>
      <c r="AL15" s="8">
        <v>28</v>
      </c>
      <c r="AM15" s="18">
        <v>27</v>
      </c>
      <c r="AN15" s="8">
        <v>26</v>
      </c>
      <c r="AO15" s="18">
        <v>25</v>
      </c>
      <c r="AP15" s="8">
        <v>24</v>
      </c>
      <c r="AQ15" s="18">
        <v>23</v>
      </c>
      <c r="AR15" s="8">
        <v>22</v>
      </c>
      <c r="AS15" s="18">
        <v>21</v>
      </c>
      <c r="AT15" s="8">
        <v>20</v>
      </c>
      <c r="AU15" s="18">
        <v>19</v>
      </c>
      <c r="AV15" s="8">
        <v>18</v>
      </c>
      <c r="AW15" s="18">
        <v>17</v>
      </c>
      <c r="AX15" s="8">
        <v>16</v>
      </c>
      <c r="AY15" s="18">
        <v>15</v>
      </c>
      <c r="AZ15" s="8">
        <v>14</v>
      </c>
      <c r="BA15" s="18">
        <v>13</v>
      </c>
      <c r="BB15" s="8">
        <v>12</v>
      </c>
      <c r="BC15" s="18">
        <v>11</v>
      </c>
      <c r="BD15" s="8">
        <v>10</v>
      </c>
      <c r="BE15" s="18">
        <v>9</v>
      </c>
      <c r="BF15" s="8">
        <v>8</v>
      </c>
      <c r="BG15" s="18">
        <v>7</v>
      </c>
      <c r="BH15" s="8">
        <v>6</v>
      </c>
      <c r="BI15" s="18">
        <v>5</v>
      </c>
      <c r="BJ15" s="8">
        <v>4</v>
      </c>
      <c r="BK15" s="18">
        <v>3</v>
      </c>
      <c r="BL15" s="8">
        <v>2</v>
      </c>
      <c r="BM15" s="18">
        <v>1</v>
      </c>
      <c r="BN15" s="8">
        <v>0</v>
      </c>
    </row>
    <row r="16" spans="1:66" x14ac:dyDescent="0.3">
      <c r="A16" s="43"/>
      <c r="B16" s="43"/>
      <c r="C16" s="43"/>
      <c r="D16" s="43"/>
      <c r="E16" s="43"/>
      <c r="F16" s="46"/>
      <c r="G16" s="45" t="s">
        <v>20</v>
      </c>
      <c r="H16" s="43"/>
      <c r="I16" s="43"/>
      <c r="J16" s="43"/>
      <c r="K16" s="46"/>
      <c r="L16" s="46"/>
      <c r="M16" s="46"/>
      <c r="N16" s="47"/>
      <c r="O16" s="45" t="s">
        <v>21</v>
      </c>
      <c r="P16" s="48"/>
      <c r="Q16" s="43"/>
      <c r="R16" s="47"/>
      <c r="S16" s="37"/>
      <c r="T16" s="31"/>
      <c r="U16" s="31"/>
      <c r="V16" s="31"/>
      <c r="W16" s="31"/>
      <c r="X16" s="31"/>
      <c r="Y16" s="31"/>
      <c r="Z16" s="31"/>
      <c r="AA16" s="31"/>
      <c r="AB16" s="8" t="s">
        <v>52</v>
      </c>
      <c r="AC16" s="18" t="s">
        <v>51</v>
      </c>
      <c r="AD16" s="18" t="s">
        <v>53</v>
      </c>
      <c r="AE16" s="18" t="s">
        <v>54</v>
      </c>
      <c r="AF16" s="18" t="s">
        <v>55</v>
      </c>
      <c r="AG16" s="18" t="s">
        <v>56</v>
      </c>
      <c r="AH16" s="18" t="s">
        <v>57</v>
      </c>
      <c r="AI16" s="18" t="s">
        <v>58</v>
      </c>
      <c r="AJ16" s="18" t="s">
        <v>38</v>
      </c>
      <c r="AK16" s="18" t="s">
        <v>59</v>
      </c>
      <c r="AL16" s="18" t="s">
        <v>40</v>
      </c>
      <c r="AM16" s="18" t="s">
        <v>60</v>
      </c>
      <c r="AN16" s="18" t="s">
        <v>61</v>
      </c>
      <c r="AO16" s="18" t="s">
        <v>62</v>
      </c>
      <c r="AP16" s="18" t="s">
        <v>63</v>
      </c>
      <c r="AQ16" s="18" t="s">
        <v>64</v>
      </c>
      <c r="AR16" s="18" t="s">
        <v>65</v>
      </c>
      <c r="AS16" s="18" t="s">
        <v>66</v>
      </c>
      <c r="AT16" s="18" t="s">
        <v>67</v>
      </c>
      <c r="AU16" s="18" t="s">
        <v>68</v>
      </c>
      <c r="AV16" s="18" t="s">
        <v>69</v>
      </c>
      <c r="AW16" s="18" t="s">
        <v>70</v>
      </c>
      <c r="AX16" s="18" t="s">
        <v>71</v>
      </c>
      <c r="AY16" s="18" t="s">
        <v>72</v>
      </c>
      <c r="AZ16" s="18" t="s">
        <v>74</v>
      </c>
      <c r="BA16" s="18" t="s">
        <v>73</v>
      </c>
      <c r="BB16" s="18" t="s">
        <v>75</v>
      </c>
      <c r="BC16" s="18" t="s">
        <v>76</v>
      </c>
      <c r="BD16" s="18" t="s">
        <v>77</v>
      </c>
      <c r="BE16" s="18" t="s">
        <v>78</v>
      </c>
      <c r="BF16" s="18" t="s">
        <v>79</v>
      </c>
      <c r="BG16" s="18" t="s">
        <v>80</v>
      </c>
      <c r="BH16" s="18" t="s">
        <v>25</v>
      </c>
      <c r="BI16" s="18" t="s">
        <v>24</v>
      </c>
      <c r="BJ16" s="18" t="s">
        <v>81</v>
      </c>
      <c r="BK16" s="18" t="s">
        <v>22</v>
      </c>
      <c r="BL16" s="18" t="s">
        <v>39</v>
      </c>
      <c r="BM16" s="18" t="s">
        <v>37</v>
      </c>
      <c r="BN16" s="23" t="s">
        <v>82</v>
      </c>
    </row>
    <row r="17" spans="1:66" x14ac:dyDescent="0.3">
      <c r="A17" s="21" t="s">
        <v>33</v>
      </c>
      <c r="B17" s="21" t="str">
        <f>BIN2HEX(
IF(ISBLANK(G17),0,G17) &amp;
IF(ISBLANK(H17),0,H17)&amp;
IF(ISBLANK(I17),0,I17)&amp;
IF(ISBLANK(J17),0,J17),2)&amp;
BIN2HEX(
IF(ISBLANK(K17),0,K17)&amp;
IF(ISBLANK(L17),0,L17)&amp;
IF(ISBLANK(M17),0,M17) &amp;
IF(ISBLANK(N17),0,N17)&amp;
IF(ISBLANK(O17),0,O17) &amp;
IF(ISBLANK(P17),0,P17) &amp;
IF(ISBLANK(Q17),0,Q17)&amp;
IF(ISBLANK(R17),0,R17),2)&amp;
BIN2HEX(
IF(ISBLANK(S17),0,S17) &amp;
IF(ISBLANK(T17),0,T17)&amp;
IF(ISBLANK(U17),0,U17)&amp;
IF(ISBLANK(V17),0,V17) &amp;
IF(ISBLANK(W17),0,W17)&amp;
IF(ISBLANK(X17),0,X17)&amp;
IF(ISBLANK(Y17),0,Y17)&amp;
IF(ISBLANK(Z17),0,Z17),2)&amp;
BIN2HEX(
IF(ISBLANK(AA17),0,AA17)&amp;
IF(ISBLANK(AB17),0,AB17) &amp;
IF(ISBLANK(AC17),0,AC17)&amp;
IF(ISBLANK(AD17),0,AD17) &amp;
IF(ISBLANK(AE17),0,AE17) &amp;
IF(ISBLANK(AF17),0,AF17)&amp;
IF(ISBLANK(AG17),0,AG17)&amp;
IF(ISBLANK(AH17),0,AH17),2)</f>
        <v>00020000</v>
      </c>
      <c r="C17" s="22" t="str">
        <f>BIN2HEX(
IF(ISBLANK(AI17),0,AI17) &amp;
IF(ISBLANK(AJ17),0,AJ17)&amp;
IF(ISBLANK(AK17),0,AK17)&amp;
IF(ISBLANK(AL17),0,AL17) &amp;
IF(ISBLANK(AM17),0,AM17)&amp;
IF(ISBLANK(AN17),0,AN17)&amp;
IF(ISBLANK(AO17),0,AO17)&amp;
IF(ISBLANK(AP17),0,AP17),2)&amp;
BIN2HEX(
IF(ISBLANK(AQ17),0,AQ17) &amp;
IF(ISBLANK(AR17),0,AR17)&amp;
IF(ISBLANK(AS17),0,AS17)&amp;
IF(ISBLANK(AT17),0,AT17) &amp;
IF(ISBLANK(AU17),0,AU17)&amp;
IF(ISBLANK(AV17),0,AV17)&amp;
IF(ISBLANK(AW17),0,AW17)&amp;
IF(ISBLANK(AX17),0,AX17),2)&amp;
BIN2HEX(
IF(ISBLANK(AY17),0,AY17) &amp;
IF(ISBLANK(AZ17),0,AZ17)&amp;
IF(ISBLANK(BA17),0,BA17)&amp;
IF(ISBLANK(BB17),0,BB17) &amp;
IF(ISBLANK(BC17),0,BC17)&amp;
IF(ISBLANK(BD17),0,BD17)&amp;
IF(ISBLANK(BE17),0,BE17)&amp;
IF(ISBLANK(BF17),0,BF17),2)&amp;
BIN2HEX(
IF(ISBLANK(BG17),0,BG17) &amp;
IF(ISBLANK(BH17),0,BH17)&amp;
IF(ISBLANK(BI17),0,BI17)&amp;
IF(ISBLANK(BJ17),0,BJ17) &amp;
IF(ISBLANK(BK17),0,BK17)&amp;
IF(ISBLANK(BL17),0,BL17)&amp;
IF(ISBLANK(BM17),0,BM17)&amp;
IF(ISBLANK(BN17),0,BN17),2)</f>
        <v>00000000</v>
      </c>
      <c r="D17" s="21" t="str">
        <f>BIN2HEX(
IF(ISBLANK(G17),0,G17) &amp;
IF(ISBLANK(H17),0,H17)&amp;
IF(ISBLANK(I17),0,I17)&amp;
IF(ISBLANK(J17),0,J17)&amp;
IF(ISBLANK(K17),0,K17)&amp;
IF(ISBLANK(L17),0,L17)&amp;
IF(ISBLANK(M17),0,M17)&amp;
IF(ISBLANK(N17),0,N17))</f>
        <v>0</v>
      </c>
      <c r="E17" s="21" t="str">
        <f>BIN2HEX(
IF(ISBLANK(O17),0,O17)&amp;
IF(ISBLANK(P17),0,P17) &amp;
IF(ISBLANK(Q17),0,Q17)&amp;
IF(ISBLANK(R17),0,R17))</f>
        <v>2</v>
      </c>
      <c r="F17" s="3"/>
      <c r="G17" s="9">
        <v>0</v>
      </c>
      <c r="H17" s="21">
        <v>0</v>
      </c>
      <c r="I17" s="21">
        <v>0</v>
      </c>
      <c r="J17" s="21">
        <v>0</v>
      </c>
      <c r="K17" s="34">
        <v>0</v>
      </c>
      <c r="L17" s="3">
        <v>0</v>
      </c>
      <c r="M17" s="3">
        <v>0</v>
      </c>
      <c r="N17" s="34">
        <v>0</v>
      </c>
      <c r="O17" s="9">
        <v>0</v>
      </c>
      <c r="P17" s="33">
        <v>0</v>
      </c>
      <c r="Q17" s="33">
        <v>1</v>
      </c>
      <c r="R17" s="10">
        <v>0</v>
      </c>
      <c r="S17" s="35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</row>
    <row r="18" spans="1:66" x14ac:dyDescent="0.3">
      <c r="A18" s="21" t="str">
        <f>DEC2HEX(HEX2DEC(LEFT(A17,LEN(A17)-1))+1)&amp;"h"</f>
        <v>1h</v>
      </c>
      <c r="B18" s="33" t="str">
        <f t="shared" ref="B18:B81" si="1">BIN2HEX(
IF(ISBLANK(G18),0,G18) &amp;
IF(ISBLANK(H18),0,H18)&amp;
IF(ISBLANK(I18),0,I18)&amp;
IF(ISBLANK(J18),0,J18),2)&amp;
BIN2HEX(
IF(ISBLANK(K18),0,K18)&amp;
IF(ISBLANK(L18),0,L18)&amp;
IF(ISBLANK(M18),0,M18) &amp;
IF(ISBLANK(N18),0,N18)&amp;
IF(ISBLANK(O18),0,O18) &amp;
IF(ISBLANK(P18),0,P18) &amp;
IF(ISBLANK(Q18),0,Q18)&amp;
IF(ISBLANK(R18),0,R18),2)&amp;
BIN2HEX(
IF(ISBLANK(S18),0,S18) &amp;
IF(ISBLANK(T18),0,T18)&amp;
IF(ISBLANK(U18),0,U18)&amp;
IF(ISBLANK(V18),0,V18) &amp;
IF(ISBLANK(W18),0,W18)&amp;
IF(ISBLANK(X18),0,X18)&amp;
IF(ISBLANK(Y18),0,Y18)&amp;
IF(ISBLANK(Z18),0,Z18),2)&amp;
BIN2HEX(
IF(ISBLANK(AA18),0,AA18)&amp;
IF(ISBLANK(AB18),0,AB18) &amp;
IF(ISBLANK(AC18),0,AC18)&amp;
IF(ISBLANK(AD18),0,AD18) &amp;
IF(ISBLANK(AE18),0,AE18) &amp;
IF(ISBLANK(AF18),0,AF18)&amp;
IF(ISBLANK(AG18),0,AG18)&amp;
IF(ISBLANK(AH18),0,AH18),2)</f>
        <v>00070000</v>
      </c>
      <c r="C18" s="22" t="str">
        <f t="shared" ref="C18:C81" si="2">BIN2HEX(
IF(ISBLANK(AI18),0,AI18) &amp;
IF(ISBLANK(AJ18),0,AJ18)&amp;
IF(ISBLANK(AK18),0,AK18)&amp;
IF(ISBLANK(AL18),0,AL18) &amp;
IF(ISBLANK(AM18),0,AM18)&amp;
IF(ISBLANK(AN18),0,AN18)&amp;
IF(ISBLANK(AO18),0,AO18)&amp;
IF(ISBLANK(AP18),0,AP18),2)&amp;
BIN2HEX(
IF(ISBLANK(AQ18),0,AQ18) &amp;
IF(ISBLANK(AR18),0,AR18)&amp;
IF(ISBLANK(AS18),0,AS18)&amp;
IF(ISBLANK(AT18),0,AT18) &amp;
IF(ISBLANK(AU18),0,AU18)&amp;
IF(ISBLANK(AV18),0,AV18)&amp;
IF(ISBLANK(AW18),0,AW18)&amp;
IF(ISBLANK(AX18),0,AX18),2)&amp;
BIN2HEX(
IF(ISBLANK(AY18),0,AY18) &amp;
IF(ISBLANK(AZ18),0,AZ18)&amp;
IF(ISBLANK(BA18),0,BA18)&amp;
IF(ISBLANK(BB18),0,BB18) &amp;
IF(ISBLANK(BC18),0,BC18)&amp;
IF(ISBLANK(BD18),0,BD18)&amp;
IF(ISBLANK(BE18),0,BE18)&amp;
IF(ISBLANK(BF18),0,BF18),2)&amp;
BIN2HEX(
IF(ISBLANK(BG18),0,BG18) &amp;
IF(ISBLANK(BH18),0,BH18)&amp;
IF(ISBLANK(BI18),0,BI18)&amp;
IF(ISBLANK(BJ18),0,BJ18) &amp;
IF(ISBLANK(BK18),0,BK18)&amp;
IF(ISBLANK(BL18),0,BL18)&amp;
IF(ISBLANK(BM18),0,BM18)&amp;
IF(ISBLANK(BN18),0,BN18),2)</f>
        <v>00000000</v>
      </c>
      <c r="D18" s="33" t="str">
        <f t="shared" ref="D18:D81" si="3">BIN2HEX(
IF(ISBLANK(G18),0,G18) &amp;
IF(ISBLANK(H18),0,H18)&amp;
IF(ISBLANK(I18),0,I18)&amp;
IF(ISBLANK(J18),0,J18)&amp;
IF(ISBLANK(K18),0,K18)&amp;
IF(ISBLANK(L18),0,L18)&amp;
IF(ISBLANK(M18),0,M18)&amp;
IF(ISBLANK(N18),0,N18))</f>
        <v>0</v>
      </c>
      <c r="E18" s="33" t="str">
        <f t="shared" ref="E18:E81" si="4">BIN2HEX(
IF(ISBLANK(O18),0,O18)&amp;
IF(ISBLANK(P18),0,P18) &amp;
IF(ISBLANK(Q18),0,Q18)&amp;
IF(ISBLANK(R18),0,R18))</f>
        <v>7</v>
      </c>
      <c r="F18" s="3"/>
      <c r="G18" s="9">
        <v>0</v>
      </c>
      <c r="H18" s="21">
        <v>0</v>
      </c>
      <c r="I18" s="21">
        <v>0</v>
      </c>
      <c r="J18" s="21">
        <v>0</v>
      </c>
      <c r="K18" s="34">
        <v>0</v>
      </c>
      <c r="L18" s="3">
        <v>0</v>
      </c>
      <c r="M18" s="3">
        <v>0</v>
      </c>
      <c r="N18" s="34">
        <v>0</v>
      </c>
      <c r="O18" s="9">
        <v>0</v>
      </c>
      <c r="P18" s="33">
        <v>1</v>
      </c>
      <c r="Q18" s="33">
        <v>1</v>
      </c>
      <c r="R18" s="10">
        <v>1</v>
      </c>
      <c r="S18" s="35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</row>
    <row r="19" spans="1:66" x14ac:dyDescent="0.3">
      <c r="A19" s="21" t="str">
        <f t="shared" ref="A19:A30" si="5">DEC2HEX(HEX2DEC(LEFT(A18,LEN(A18)-1))+1)&amp;"h"</f>
        <v>2h</v>
      </c>
      <c r="B19" s="33" t="str">
        <f>BIN2HEX(
IF(ISBLANK(G19),0,G19) &amp;
IF(ISBLANK(H19),0,H19)&amp;
IF(ISBLANK(I19),0,I19)&amp;
IF(ISBLANK(J19),0,J19),2)&amp;
BIN2HEX(
IF(ISBLANK(K19),0,K19)&amp;
IF(ISBLANK(L19),0,L19)&amp;
IF(ISBLANK(M19),0,M19) &amp;
IF(ISBLANK(N19),0,N19)&amp;
IF(ISBLANK(O19),0,O19) &amp;
IF(ISBLANK(P19),0,P19) &amp;
IF(ISBLANK(Q19),0,Q19)&amp;
IF(ISBLANK(R19),0,R19),2)&amp;
BIN2HEX(
IF(ISBLANK(S19),0,S19) &amp;
IF(ISBLANK(T19),0,T19)&amp;
IF(ISBLANK(U19),0,U19)&amp;
IF(ISBLANK(V19),0,V19) &amp;
IF(ISBLANK(W19),0,W19)&amp;
IF(ISBLANK(X19),0,X19)&amp;
IF(ISBLANK(Y19),0,Y19)&amp;
IF(ISBLANK(Z19),0,Z19),2)&amp;
BIN2HEX(
IF(ISBLANK(AA19),0,AA19)&amp;
IF(ISBLANK(AB19),0,AB19) &amp;
IF(ISBLANK(AC19),0,AC19)&amp;
IF(ISBLANK(AD19),0,AD19) &amp;
IF(ISBLANK(AE19),0,AE19) &amp;
IF(ISBLANK(AF19),0,AF19)&amp;
IF(ISBLANK(AG19),0,AG19)&amp;
IF(ISBLANK(AH19),0,AH19),2)</f>
        <v>05D10000</v>
      </c>
      <c r="C19" s="22" t="str">
        <f t="shared" si="2"/>
        <v>00000001</v>
      </c>
      <c r="D19" s="33" t="str">
        <f t="shared" si="3"/>
        <v>5D</v>
      </c>
      <c r="E19" s="33" t="str">
        <f t="shared" si="4"/>
        <v>1</v>
      </c>
      <c r="F19" s="3"/>
      <c r="G19" s="9">
        <v>0</v>
      </c>
      <c r="H19" s="21">
        <v>1</v>
      </c>
      <c r="I19" s="21">
        <v>0</v>
      </c>
      <c r="J19" s="21">
        <v>1</v>
      </c>
      <c r="K19" s="34">
        <v>1</v>
      </c>
      <c r="L19" s="3">
        <v>1</v>
      </c>
      <c r="M19" s="3">
        <v>0</v>
      </c>
      <c r="N19" s="34">
        <v>1</v>
      </c>
      <c r="O19" s="9">
        <v>0</v>
      </c>
      <c r="P19" s="33">
        <v>0</v>
      </c>
      <c r="Q19" s="33">
        <v>0</v>
      </c>
      <c r="R19" s="10">
        <v>1</v>
      </c>
      <c r="S19" s="35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1</v>
      </c>
    </row>
    <row r="20" spans="1:66" x14ac:dyDescent="0.3">
      <c r="A20" s="21" t="str">
        <f t="shared" si="5"/>
        <v>3h</v>
      </c>
      <c r="B20" s="33" t="str">
        <f t="shared" si="1"/>
        <v>00000000</v>
      </c>
      <c r="C20" s="22" t="str">
        <f t="shared" si="2"/>
        <v>0000001E</v>
      </c>
      <c r="D20" s="33" t="str">
        <f t="shared" si="3"/>
        <v>0</v>
      </c>
      <c r="E20" s="33" t="str">
        <f t="shared" si="4"/>
        <v>0</v>
      </c>
      <c r="F20" s="3"/>
      <c r="G20" s="9">
        <v>0</v>
      </c>
      <c r="H20" s="21">
        <v>0</v>
      </c>
      <c r="I20" s="21">
        <v>0</v>
      </c>
      <c r="J20" s="21">
        <v>0</v>
      </c>
      <c r="K20" s="34">
        <v>0</v>
      </c>
      <c r="L20" s="3">
        <v>0</v>
      </c>
      <c r="M20" s="3">
        <v>0</v>
      </c>
      <c r="N20" s="34">
        <v>0</v>
      </c>
      <c r="O20" s="9">
        <v>0</v>
      </c>
      <c r="P20" s="33">
        <v>0</v>
      </c>
      <c r="Q20" s="33">
        <v>0</v>
      </c>
      <c r="R20" s="10">
        <v>0</v>
      </c>
      <c r="S20" s="35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1</v>
      </c>
      <c r="BK20" s="4">
        <v>1</v>
      </c>
      <c r="BL20" s="4">
        <v>1</v>
      </c>
      <c r="BM20" s="4">
        <v>1</v>
      </c>
      <c r="BN20" s="4">
        <v>0</v>
      </c>
    </row>
    <row r="21" spans="1:66" x14ac:dyDescent="0.3">
      <c r="A21" s="21" t="str">
        <f t="shared" si="5"/>
        <v>4h</v>
      </c>
      <c r="B21" s="33" t="str">
        <f t="shared" si="1"/>
        <v>00460000</v>
      </c>
      <c r="C21" s="22" t="str">
        <f t="shared" si="2"/>
        <v>00000060</v>
      </c>
      <c r="D21" s="33" t="str">
        <f t="shared" si="3"/>
        <v>4</v>
      </c>
      <c r="E21" s="33" t="str">
        <f t="shared" si="4"/>
        <v>6</v>
      </c>
      <c r="F21" s="3"/>
      <c r="G21" s="9">
        <v>0</v>
      </c>
      <c r="H21" s="21">
        <v>0</v>
      </c>
      <c r="I21" s="21">
        <v>0</v>
      </c>
      <c r="J21" s="21">
        <v>0</v>
      </c>
      <c r="K21" s="34">
        <v>0</v>
      </c>
      <c r="L21" s="3">
        <v>1</v>
      </c>
      <c r="M21" s="3">
        <v>0</v>
      </c>
      <c r="N21" s="34">
        <v>0</v>
      </c>
      <c r="O21" s="9">
        <v>0</v>
      </c>
      <c r="P21" s="33">
        <v>1</v>
      </c>
      <c r="Q21" s="33">
        <v>1</v>
      </c>
      <c r="R21" s="10">
        <v>0</v>
      </c>
      <c r="S21" s="35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</row>
    <row r="22" spans="1:66" x14ac:dyDescent="0.3">
      <c r="A22" s="21" t="str">
        <f t="shared" si="5"/>
        <v>5h</v>
      </c>
      <c r="B22" s="33" t="str">
        <f t="shared" si="1"/>
        <v>00000000</v>
      </c>
      <c r="C22" s="22" t="str">
        <f t="shared" si="2"/>
        <v>00000080</v>
      </c>
      <c r="D22" s="33" t="str">
        <f t="shared" si="3"/>
        <v>0</v>
      </c>
      <c r="E22" s="33" t="str">
        <f t="shared" si="4"/>
        <v>0</v>
      </c>
      <c r="F22" s="3"/>
      <c r="G22" s="9">
        <v>0</v>
      </c>
      <c r="H22" s="21">
        <v>0</v>
      </c>
      <c r="I22" s="21">
        <v>0</v>
      </c>
      <c r="J22" s="21">
        <v>0</v>
      </c>
      <c r="K22" s="34">
        <v>0</v>
      </c>
      <c r="L22" s="3">
        <v>0</v>
      </c>
      <c r="M22" s="3">
        <v>0</v>
      </c>
      <c r="N22" s="34">
        <v>0</v>
      </c>
      <c r="O22" s="9">
        <v>0</v>
      </c>
      <c r="P22" s="33">
        <v>0</v>
      </c>
      <c r="Q22" s="33">
        <v>0</v>
      </c>
      <c r="R22" s="10">
        <v>0</v>
      </c>
      <c r="S22" s="35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1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</row>
    <row r="23" spans="1:66" x14ac:dyDescent="0.3">
      <c r="A23" s="21" t="str">
        <f t="shared" si="5"/>
        <v>6h</v>
      </c>
      <c r="B23" s="33" t="str">
        <f t="shared" si="1"/>
        <v>00000000</v>
      </c>
      <c r="C23" s="22" t="str">
        <f t="shared" si="2"/>
        <v>0000001E</v>
      </c>
      <c r="D23" s="33" t="str">
        <f t="shared" si="3"/>
        <v>0</v>
      </c>
      <c r="E23" s="33" t="str">
        <f t="shared" si="4"/>
        <v>0</v>
      </c>
      <c r="F23" s="3"/>
      <c r="G23" s="9">
        <v>0</v>
      </c>
      <c r="H23" s="21">
        <v>0</v>
      </c>
      <c r="I23" s="21">
        <v>0</v>
      </c>
      <c r="J23" s="21">
        <v>0</v>
      </c>
      <c r="K23" s="34">
        <v>0</v>
      </c>
      <c r="L23" s="3">
        <v>0</v>
      </c>
      <c r="M23" s="3">
        <v>0</v>
      </c>
      <c r="N23" s="34">
        <v>0</v>
      </c>
      <c r="O23" s="9">
        <v>0</v>
      </c>
      <c r="P23" s="33">
        <v>0</v>
      </c>
      <c r="Q23" s="33">
        <v>0</v>
      </c>
      <c r="R23" s="10">
        <v>0</v>
      </c>
      <c r="S23" s="35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1</v>
      </c>
      <c r="BK23" s="4">
        <v>1</v>
      </c>
      <c r="BL23" s="4">
        <v>1</v>
      </c>
      <c r="BM23" s="4">
        <v>1</v>
      </c>
      <c r="BN23" s="4">
        <v>0</v>
      </c>
    </row>
    <row r="24" spans="1:66" x14ac:dyDescent="0.3">
      <c r="A24" s="21" t="str">
        <f t="shared" si="5"/>
        <v>7h</v>
      </c>
      <c r="B24" s="33" t="str">
        <f t="shared" si="1"/>
        <v>00760000</v>
      </c>
      <c r="C24" s="22" t="str">
        <f t="shared" si="2"/>
        <v>00000060</v>
      </c>
      <c r="D24" s="33" t="str">
        <f t="shared" si="3"/>
        <v>7</v>
      </c>
      <c r="E24" s="33" t="str">
        <f t="shared" si="4"/>
        <v>6</v>
      </c>
      <c r="F24" s="3"/>
      <c r="G24" s="9">
        <v>0</v>
      </c>
      <c r="H24" s="21">
        <v>0</v>
      </c>
      <c r="I24" s="21">
        <v>0</v>
      </c>
      <c r="J24" s="21">
        <v>0</v>
      </c>
      <c r="K24" s="34">
        <v>0</v>
      </c>
      <c r="L24" s="3">
        <v>1</v>
      </c>
      <c r="M24" s="3">
        <v>1</v>
      </c>
      <c r="N24" s="34">
        <v>1</v>
      </c>
      <c r="O24" s="9">
        <v>0</v>
      </c>
      <c r="P24" s="33">
        <v>1</v>
      </c>
      <c r="Q24" s="33">
        <v>1</v>
      </c>
      <c r="R24" s="10">
        <v>0</v>
      </c>
      <c r="S24" s="35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</row>
    <row r="25" spans="1:66" x14ac:dyDescent="0.3">
      <c r="A25" s="21" t="str">
        <f t="shared" si="5"/>
        <v>8h</v>
      </c>
      <c r="B25" s="33" t="str">
        <f t="shared" si="1"/>
        <v>00000000</v>
      </c>
      <c r="C25" s="22" t="str">
        <f t="shared" si="2"/>
        <v>00000100</v>
      </c>
      <c r="D25" s="33" t="str">
        <f t="shared" si="3"/>
        <v>0</v>
      </c>
      <c r="E25" s="33" t="str">
        <f t="shared" si="4"/>
        <v>0</v>
      </c>
      <c r="F25" s="3"/>
      <c r="G25" s="9">
        <v>0</v>
      </c>
      <c r="H25" s="21">
        <v>0</v>
      </c>
      <c r="I25" s="21">
        <v>0</v>
      </c>
      <c r="J25" s="21">
        <v>0</v>
      </c>
      <c r="K25" s="34">
        <v>0</v>
      </c>
      <c r="L25" s="3">
        <v>0</v>
      </c>
      <c r="M25" s="3">
        <v>0</v>
      </c>
      <c r="N25" s="34">
        <v>0</v>
      </c>
      <c r="O25" s="9">
        <v>0</v>
      </c>
      <c r="P25" s="33">
        <v>0</v>
      </c>
      <c r="Q25" s="33">
        <v>0</v>
      </c>
      <c r="R25" s="10">
        <v>0</v>
      </c>
      <c r="S25" s="35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1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</row>
    <row r="26" spans="1:66" x14ac:dyDescent="0.3">
      <c r="A26" s="21" t="str">
        <f t="shared" si="5"/>
        <v>9h</v>
      </c>
      <c r="B26" s="33" t="str">
        <f t="shared" si="1"/>
        <v>05D10000</v>
      </c>
      <c r="C26" s="22" t="str">
        <f t="shared" si="2"/>
        <v>00000A00</v>
      </c>
      <c r="D26" s="33" t="str">
        <f t="shared" si="3"/>
        <v>5D</v>
      </c>
      <c r="E26" s="33" t="str">
        <f t="shared" si="4"/>
        <v>1</v>
      </c>
      <c r="F26" s="3"/>
      <c r="G26" s="9">
        <v>0</v>
      </c>
      <c r="H26" s="21">
        <v>1</v>
      </c>
      <c r="I26" s="21">
        <v>0</v>
      </c>
      <c r="J26" s="21">
        <v>1</v>
      </c>
      <c r="K26" s="34">
        <v>1</v>
      </c>
      <c r="L26" s="3">
        <v>1</v>
      </c>
      <c r="M26" s="3">
        <v>0</v>
      </c>
      <c r="N26" s="34">
        <v>1</v>
      </c>
      <c r="O26" s="9">
        <v>0</v>
      </c>
      <c r="P26" s="33">
        <v>0</v>
      </c>
      <c r="Q26" s="33">
        <v>0</v>
      </c>
      <c r="R26" s="10">
        <v>1</v>
      </c>
      <c r="S26" s="35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1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</row>
    <row r="27" spans="1:66" x14ac:dyDescent="0.3">
      <c r="A27" s="21" t="str">
        <f t="shared" si="5"/>
        <v>Ah</v>
      </c>
      <c r="B27" s="33" t="str">
        <f t="shared" si="1"/>
        <v>00000000</v>
      </c>
      <c r="C27" s="22" t="str">
        <f t="shared" si="2"/>
        <v>0000001E</v>
      </c>
      <c r="D27" s="33" t="str">
        <f t="shared" si="3"/>
        <v>0</v>
      </c>
      <c r="E27" s="33" t="str">
        <f t="shared" si="4"/>
        <v>0</v>
      </c>
      <c r="F27" s="3"/>
      <c r="G27" s="9">
        <v>0</v>
      </c>
      <c r="H27" s="21">
        <v>0</v>
      </c>
      <c r="I27" s="21">
        <v>0</v>
      </c>
      <c r="J27" s="21">
        <v>0</v>
      </c>
      <c r="K27" s="34">
        <v>0</v>
      </c>
      <c r="L27" s="3">
        <v>0</v>
      </c>
      <c r="M27" s="3">
        <v>0</v>
      </c>
      <c r="N27" s="34">
        <v>0</v>
      </c>
      <c r="O27" s="9">
        <v>0</v>
      </c>
      <c r="P27" s="33">
        <v>0</v>
      </c>
      <c r="Q27" s="33">
        <v>0</v>
      </c>
      <c r="R27" s="10">
        <v>0</v>
      </c>
      <c r="S27" s="35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1</v>
      </c>
      <c r="BK27" s="4">
        <v>1</v>
      </c>
      <c r="BL27" s="4">
        <v>1</v>
      </c>
      <c r="BM27" s="4">
        <v>1</v>
      </c>
      <c r="BN27" s="4">
        <v>0</v>
      </c>
    </row>
    <row r="28" spans="1:66" x14ac:dyDescent="0.3">
      <c r="A28" s="21" t="str">
        <f t="shared" si="5"/>
        <v>Bh</v>
      </c>
      <c r="B28" s="33" t="str">
        <f t="shared" si="1"/>
        <v>00B60000</v>
      </c>
      <c r="C28" s="22" t="str">
        <f t="shared" si="2"/>
        <v>00000060</v>
      </c>
      <c r="D28" s="33" t="str">
        <f t="shared" si="3"/>
        <v>B</v>
      </c>
      <c r="E28" s="33" t="str">
        <f t="shared" si="4"/>
        <v>6</v>
      </c>
      <c r="F28" s="3"/>
      <c r="G28" s="9">
        <v>0</v>
      </c>
      <c r="H28" s="21">
        <v>0</v>
      </c>
      <c r="I28" s="21">
        <v>0</v>
      </c>
      <c r="J28" s="21">
        <v>0</v>
      </c>
      <c r="K28" s="34">
        <v>1</v>
      </c>
      <c r="L28" s="3">
        <v>0</v>
      </c>
      <c r="M28" s="3">
        <v>1</v>
      </c>
      <c r="N28" s="34">
        <v>1</v>
      </c>
      <c r="O28" s="9">
        <v>0</v>
      </c>
      <c r="P28" s="33">
        <v>1</v>
      </c>
      <c r="Q28" s="33">
        <v>1</v>
      </c>
      <c r="R28" s="10">
        <v>0</v>
      </c>
      <c r="S28" s="35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</row>
    <row r="29" spans="1:66" x14ac:dyDescent="0.3">
      <c r="A29" s="21" t="str">
        <f t="shared" si="5"/>
        <v>Ch</v>
      </c>
      <c r="B29" s="33" t="str">
        <f t="shared" si="1"/>
        <v>00000000</v>
      </c>
      <c r="C29" s="22" t="str">
        <f t="shared" si="2"/>
        <v>00000080</v>
      </c>
      <c r="D29" s="33" t="str">
        <f t="shared" si="3"/>
        <v>0</v>
      </c>
      <c r="E29" s="33" t="str">
        <f t="shared" si="4"/>
        <v>0</v>
      </c>
      <c r="F29" s="3"/>
      <c r="G29" s="9">
        <v>0</v>
      </c>
      <c r="H29" s="21">
        <v>0</v>
      </c>
      <c r="I29" s="21">
        <v>0</v>
      </c>
      <c r="J29" s="21">
        <v>0</v>
      </c>
      <c r="K29" s="34">
        <v>0</v>
      </c>
      <c r="L29" s="3">
        <v>0</v>
      </c>
      <c r="M29" s="3">
        <v>0</v>
      </c>
      <c r="N29" s="34">
        <v>0</v>
      </c>
      <c r="O29" s="9">
        <v>0</v>
      </c>
      <c r="P29" s="33">
        <v>0</v>
      </c>
      <c r="Q29" s="33">
        <v>0</v>
      </c>
      <c r="R29" s="10">
        <v>0</v>
      </c>
      <c r="S29" s="35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1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</row>
    <row r="30" spans="1:66" x14ac:dyDescent="0.3">
      <c r="A30" s="21" t="str">
        <f t="shared" si="5"/>
        <v>Dh</v>
      </c>
      <c r="B30" s="33" t="str">
        <f t="shared" si="1"/>
        <v>00000000</v>
      </c>
      <c r="C30" s="22" t="str">
        <f t="shared" si="2"/>
        <v>0000001E</v>
      </c>
      <c r="D30" s="33" t="str">
        <f t="shared" si="3"/>
        <v>0</v>
      </c>
      <c r="E30" s="33" t="str">
        <f t="shared" si="4"/>
        <v>0</v>
      </c>
      <c r="F30" s="3"/>
      <c r="G30" s="9">
        <v>0</v>
      </c>
      <c r="H30" s="21">
        <v>0</v>
      </c>
      <c r="I30" s="21">
        <v>0</v>
      </c>
      <c r="J30" s="21">
        <v>0</v>
      </c>
      <c r="K30" s="34">
        <v>0</v>
      </c>
      <c r="L30" s="3">
        <v>0</v>
      </c>
      <c r="M30" s="3">
        <v>0</v>
      </c>
      <c r="N30" s="34">
        <v>0</v>
      </c>
      <c r="O30" s="9">
        <v>0</v>
      </c>
      <c r="P30" s="33">
        <v>0</v>
      </c>
      <c r="Q30" s="33">
        <v>0</v>
      </c>
      <c r="R30" s="10">
        <v>0</v>
      </c>
      <c r="S30" s="35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1</v>
      </c>
      <c r="BK30" s="4">
        <v>1</v>
      </c>
      <c r="BL30" s="4">
        <v>1</v>
      </c>
      <c r="BM30" s="4">
        <v>1</v>
      </c>
      <c r="BN30" s="4">
        <v>0</v>
      </c>
    </row>
    <row r="31" spans="1:66" x14ac:dyDescent="0.3">
      <c r="A31" s="21" t="str">
        <f>DEC2HEX(HEX2DEC(LEFT(A30,LEN(A30)-1))+1)&amp;"h"</f>
        <v>Eh</v>
      </c>
      <c r="B31" s="33" t="str">
        <f t="shared" si="1"/>
        <v>00E60000</v>
      </c>
      <c r="C31" s="22" t="str">
        <f t="shared" si="2"/>
        <v>00000060</v>
      </c>
      <c r="D31" s="33" t="str">
        <f t="shared" si="3"/>
        <v>E</v>
      </c>
      <c r="E31" s="33" t="str">
        <f t="shared" si="4"/>
        <v>6</v>
      </c>
      <c r="F31" s="3"/>
      <c r="G31" s="9">
        <v>0</v>
      </c>
      <c r="H31" s="21">
        <v>0</v>
      </c>
      <c r="I31" s="21">
        <v>0</v>
      </c>
      <c r="J31" s="21">
        <v>0</v>
      </c>
      <c r="K31" s="34">
        <v>1</v>
      </c>
      <c r="L31" s="3">
        <v>1</v>
      </c>
      <c r="M31" s="3">
        <v>1</v>
      </c>
      <c r="N31" s="34">
        <v>0</v>
      </c>
      <c r="O31" s="9">
        <v>0</v>
      </c>
      <c r="P31" s="33">
        <v>1</v>
      </c>
      <c r="Q31" s="33">
        <v>1</v>
      </c>
      <c r="R31" s="10">
        <v>0</v>
      </c>
      <c r="S31" s="35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</row>
    <row r="32" spans="1:66" x14ac:dyDescent="0.3">
      <c r="A32" s="21" t="str">
        <f>DEC2HEX(HEX2DEC(LEFT(A31,LEN(A31)-1))+1)&amp;"h"</f>
        <v>Fh</v>
      </c>
      <c r="B32" s="33" t="str">
        <f t="shared" si="1"/>
        <v>00000000</v>
      </c>
      <c r="C32" s="22" t="str">
        <f t="shared" si="2"/>
        <v>00000100</v>
      </c>
      <c r="D32" s="33" t="str">
        <f t="shared" si="3"/>
        <v>0</v>
      </c>
      <c r="E32" s="33" t="str">
        <f t="shared" si="4"/>
        <v>0</v>
      </c>
      <c r="F32" s="3"/>
      <c r="G32" s="9">
        <v>0</v>
      </c>
      <c r="H32" s="21">
        <v>0</v>
      </c>
      <c r="I32" s="21">
        <v>0</v>
      </c>
      <c r="J32" s="21">
        <v>0</v>
      </c>
      <c r="K32" s="34">
        <v>0</v>
      </c>
      <c r="L32" s="3">
        <v>0</v>
      </c>
      <c r="M32" s="3">
        <v>0</v>
      </c>
      <c r="N32" s="34">
        <v>0</v>
      </c>
      <c r="O32" s="9">
        <v>0</v>
      </c>
      <c r="P32" s="33">
        <v>0</v>
      </c>
      <c r="Q32" s="33">
        <v>0</v>
      </c>
      <c r="R32" s="10">
        <v>0</v>
      </c>
      <c r="S32" s="35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</row>
    <row r="33" spans="1:66" x14ac:dyDescent="0.3">
      <c r="A33" s="21" t="str">
        <f t="shared" ref="A33:A96" si="6">DEC2HEX(HEX2DEC(LEFT(A32,LEN(A32)-1))+1)&amp;"h"</f>
        <v>10h</v>
      </c>
      <c r="B33" s="33" t="str">
        <f t="shared" si="1"/>
        <v>00000000</v>
      </c>
      <c r="C33" s="22" t="str">
        <f t="shared" si="2"/>
        <v>0003F000</v>
      </c>
      <c r="D33" s="33" t="str">
        <f t="shared" si="3"/>
        <v>0</v>
      </c>
      <c r="E33" s="33" t="str">
        <f t="shared" si="4"/>
        <v>0</v>
      </c>
      <c r="F33" s="3"/>
      <c r="G33" s="9">
        <v>0</v>
      </c>
      <c r="H33" s="21">
        <v>0</v>
      </c>
      <c r="I33" s="21">
        <v>0</v>
      </c>
      <c r="J33" s="21">
        <v>0</v>
      </c>
      <c r="K33" s="34">
        <v>0</v>
      </c>
      <c r="L33" s="3">
        <v>0</v>
      </c>
      <c r="M33" s="3">
        <v>0</v>
      </c>
      <c r="N33" s="34">
        <v>0</v>
      </c>
      <c r="O33" s="9">
        <v>0</v>
      </c>
      <c r="P33" s="33">
        <v>0</v>
      </c>
      <c r="Q33" s="33">
        <v>0</v>
      </c>
      <c r="R33" s="10">
        <v>0</v>
      </c>
      <c r="S33" s="35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</row>
    <row r="34" spans="1:66" x14ac:dyDescent="0.3">
      <c r="A34" s="21" t="str">
        <f t="shared" si="6"/>
        <v>11h</v>
      </c>
      <c r="B34" s="33" t="str">
        <f t="shared" si="1"/>
        <v>00000000</v>
      </c>
      <c r="C34" s="22" t="str">
        <f t="shared" si="2"/>
        <v>0000001E</v>
      </c>
      <c r="D34" s="33" t="str">
        <f t="shared" si="3"/>
        <v>0</v>
      </c>
      <c r="E34" s="33" t="str">
        <f t="shared" si="4"/>
        <v>0</v>
      </c>
      <c r="F34" s="3"/>
      <c r="G34" s="9">
        <v>0</v>
      </c>
      <c r="H34" s="21">
        <v>0</v>
      </c>
      <c r="I34" s="21">
        <v>0</v>
      </c>
      <c r="J34" s="21">
        <v>0</v>
      </c>
      <c r="K34" s="34">
        <v>0</v>
      </c>
      <c r="L34" s="3">
        <v>0</v>
      </c>
      <c r="M34" s="3">
        <v>0</v>
      </c>
      <c r="N34" s="34">
        <v>0</v>
      </c>
      <c r="O34" s="9">
        <v>0</v>
      </c>
      <c r="P34" s="33">
        <v>0</v>
      </c>
      <c r="Q34" s="33">
        <v>0</v>
      </c>
      <c r="R34" s="10">
        <v>0</v>
      </c>
      <c r="S34" s="35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1</v>
      </c>
      <c r="BK34" s="4">
        <v>1</v>
      </c>
      <c r="BL34" s="4">
        <v>1</v>
      </c>
      <c r="BM34" s="4">
        <v>1</v>
      </c>
      <c r="BN34" s="4">
        <v>0</v>
      </c>
    </row>
    <row r="35" spans="1:66" x14ac:dyDescent="0.3">
      <c r="A35" s="21" t="str">
        <f t="shared" si="6"/>
        <v>12h</v>
      </c>
      <c r="B35" s="33" t="str">
        <f t="shared" si="1"/>
        <v>01260000</v>
      </c>
      <c r="C35" s="22" t="str">
        <f t="shared" si="2"/>
        <v>00000060</v>
      </c>
      <c r="D35" s="33" t="str">
        <f t="shared" si="3"/>
        <v>12</v>
      </c>
      <c r="E35" s="33" t="str">
        <f t="shared" si="4"/>
        <v>6</v>
      </c>
      <c r="F35" s="3"/>
      <c r="G35" s="9">
        <v>0</v>
      </c>
      <c r="H35" s="21">
        <v>0</v>
      </c>
      <c r="I35" s="21">
        <v>0</v>
      </c>
      <c r="J35" s="21">
        <v>1</v>
      </c>
      <c r="K35" s="34">
        <v>0</v>
      </c>
      <c r="L35" s="3">
        <v>0</v>
      </c>
      <c r="M35" s="3">
        <v>1</v>
      </c>
      <c r="N35" s="34">
        <v>0</v>
      </c>
      <c r="O35" s="9">
        <v>0</v>
      </c>
      <c r="P35" s="33">
        <v>1</v>
      </c>
      <c r="Q35" s="33">
        <v>1</v>
      </c>
      <c r="R35" s="10">
        <v>0</v>
      </c>
      <c r="S35" s="35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</row>
    <row r="36" spans="1:66" x14ac:dyDescent="0.3">
      <c r="A36" s="21" t="str">
        <f t="shared" si="6"/>
        <v>13h</v>
      </c>
      <c r="B36" s="33" t="str">
        <f t="shared" si="1"/>
        <v>00000000</v>
      </c>
      <c r="C36" s="22" t="str">
        <f t="shared" si="2"/>
        <v>00000080</v>
      </c>
      <c r="D36" s="33" t="str">
        <f t="shared" si="3"/>
        <v>0</v>
      </c>
      <c r="E36" s="33" t="str">
        <f t="shared" si="4"/>
        <v>0</v>
      </c>
      <c r="F36" s="3"/>
      <c r="G36" s="9">
        <v>0</v>
      </c>
      <c r="H36" s="21">
        <v>0</v>
      </c>
      <c r="I36" s="21">
        <v>0</v>
      </c>
      <c r="J36" s="21">
        <v>0</v>
      </c>
      <c r="K36" s="34">
        <v>0</v>
      </c>
      <c r="L36" s="3">
        <v>0</v>
      </c>
      <c r="M36" s="3">
        <v>0</v>
      </c>
      <c r="N36" s="34">
        <v>0</v>
      </c>
      <c r="O36" s="9">
        <v>0</v>
      </c>
      <c r="P36" s="33">
        <v>0</v>
      </c>
      <c r="Q36" s="33">
        <v>0</v>
      </c>
      <c r="R36" s="10">
        <v>0</v>
      </c>
      <c r="S36" s="35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1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</row>
    <row r="37" spans="1:66" x14ac:dyDescent="0.3">
      <c r="A37" s="21" t="str">
        <f t="shared" si="6"/>
        <v>14h</v>
      </c>
      <c r="B37" s="33" t="str">
        <f t="shared" si="1"/>
        <v>00000000</v>
      </c>
      <c r="C37" s="22" t="str">
        <f t="shared" si="2"/>
        <v>0000001E</v>
      </c>
      <c r="D37" s="33" t="str">
        <f t="shared" si="3"/>
        <v>0</v>
      </c>
      <c r="E37" s="33" t="str">
        <f t="shared" si="4"/>
        <v>0</v>
      </c>
      <c r="F37" s="3"/>
      <c r="G37" s="9">
        <v>0</v>
      </c>
      <c r="H37" s="21">
        <v>0</v>
      </c>
      <c r="I37" s="21">
        <v>0</v>
      </c>
      <c r="J37" s="21">
        <v>0</v>
      </c>
      <c r="K37" s="34">
        <v>0</v>
      </c>
      <c r="L37" s="3">
        <v>0</v>
      </c>
      <c r="M37" s="3">
        <v>0</v>
      </c>
      <c r="N37" s="34">
        <v>0</v>
      </c>
      <c r="O37" s="9">
        <v>0</v>
      </c>
      <c r="P37" s="33">
        <v>0</v>
      </c>
      <c r="Q37" s="33">
        <v>0</v>
      </c>
      <c r="R37" s="10">
        <v>0</v>
      </c>
      <c r="S37" s="35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1</v>
      </c>
      <c r="BK37" s="4">
        <v>1</v>
      </c>
      <c r="BL37" s="4">
        <v>1</v>
      </c>
      <c r="BM37" s="4">
        <v>1</v>
      </c>
      <c r="BN37" s="4">
        <v>0</v>
      </c>
    </row>
    <row r="38" spans="1:66" x14ac:dyDescent="0.3">
      <c r="A38" s="21" t="str">
        <f t="shared" si="6"/>
        <v>15h</v>
      </c>
      <c r="B38" s="33" t="str">
        <f t="shared" si="1"/>
        <v>01560000</v>
      </c>
      <c r="C38" s="22" t="str">
        <f t="shared" si="2"/>
        <v>00000060</v>
      </c>
      <c r="D38" s="33" t="str">
        <f t="shared" si="3"/>
        <v>15</v>
      </c>
      <c r="E38" s="33" t="str">
        <f t="shared" si="4"/>
        <v>6</v>
      </c>
      <c r="F38" s="3"/>
      <c r="G38" s="9">
        <v>0</v>
      </c>
      <c r="H38" s="21">
        <v>0</v>
      </c>
      <c r="I38" s="21">
        <v>0</v>
      </c>
      <c r="J38" s="21">
        <v>1</v>
      </c>
      <c r="K38" s="34">
        <v>0</v>
      </c>
      <c r="L38" s="3">
        <v>1</v>
      </c>
      <c r="M38" s="3">
        <v>0</v>
      </c>
      <c r="N38" s="34">
        <v>1</v>
      </c>
      <c r="O38" s="9">
        <v>0</v>
      </c>
      <c r="P38" s="33">
        <v>1</v>
      </c>
      <c r="Q38" s="33">
        <v>1</v>
      </c>
      <c r="R38" s="10">
        <v>0</v>
      </c>
      <c r="S38" s="35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</row>
    <row r="39" spans="1:66" x14ac:dyDescent="0.3">
      <c r="A39" s="21" t="str">
        <f t="shared" si="6"/>
        <v>16h</v>
      </c>
      <c r="B39" s="33" t="str">
        <f t="shared" si="1"/>
        <v>00000000</v>
      </c>
      <c r="C39" s="22" t="str">
        <f t="shared" si="2"/>
        <v>00000100</v>
      </c>
      <c r="D39" s="33" t="str">
        <f t="shared" si="3"/>
        <v>0</v>
      </c>
      <c r="E39" s="33" t="str">
        <f t="shared" si="4"/>
        <v>0</v>
      </c>
      <c r="F39" s="3"/>
      <c r="G39" s="9">
        <v>0</v>
      </c>
      <c r="H39" s="21">
        <v>0</v>
      </c>
      <c r="I39" s="21">
        <v>0</v>
      </c>
      <c r="J39" s="21">
        <v>0</v>
      </c>
      <c r="K39" s="34">
        <v>0</v>
      </c>
      <c r="L39" s="3">
        <v>0</v>
      </c>
      <c r="M39" s="3">
        <v>0</v>
      </c>
      <c r="N39" s="34">
        <v>0</v>
      </c>
      <c r="O39" s="9">
        <v>0</v>
      </c>
      <c r="P39" s="33">
        <v>0</v>
      </c>
      <c r="Q39" s="33">
        <v>0</v>
      </c>
      <c r="R39" s="10">
        <v>0</v>
      </c>
      <c r="S39" s="35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1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</row>
    <row r="40" spans="1:66" x14ac:dyDescent="0.3">
      <c r="A40" s="21" t="str">
        <f t="shared" si="6"/>
        <v>17h</v>
      </c>
      <c r="B40" s="33" t="str">
        <f t="shared" si="1"/>
        <v>00000000</v>
      </c>
      <c r="C40" s="22" t="str">
        <f t="shared" si="2"/>
        <v>00180000</v>
      </c>
      <c r="D40" s="33" t="str">
        <f t="shared" si="3"/>
        <v>0</v>
      </c>
      <c r="E40" s="33" t="str">
        <f t="shared" si="4"/>
        <v>0</v>
      </c>
      <c r="F40" s="3"/>
      <c r="G40" s="9">
        <v>0</v>
      </c>
      <c r="H40" s="21">
        <v>0</v>
      </c>
      <c r="I40" s="21">
        <v>0</v>
      </c>
      <c r="J40" s="21">
        <v>0</v>
      </c>
      <c r="K40" s="34">
        <v>0</v>
      </c>
      <c r="L40" s="3">
        <v>0</v>
      </c>
      <c r="M40" s="3">
        <v>0</v>
      </c>
      <c r="N40" s="34">
        <v>0</v>
      </c>
      <c r="O40" s="9">
        <v>0</v>
      </c>
      <c r="P40" s="33">
        <v>0</v>
      </c>
      <c r="Q40" s="33">
        <v>0</v>
      </c>
      <c r="R40" s="10">
        <v>0</v>
      </c>
      <c r="S40" s="35">
        <v>0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1</v>
      </c>
      <c r="AU40" s="4">
        <v>1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</row>
    <row r="41" spans="1:66" x14ac:dyDescent="0.3">
      <c r="A41" s="21" t="str">
        <f t="shared" si="6"/>
        <v>18h</v>
      </c>
      <c r="B41" s="33" t="str">
        <f t="shared" si="1"/>
        <v>00000000</v>
      </c>
      <c r="C41" s="22" t="str">
        <f t="shared" si="2"/>
        <v>0000001E</v>
      </c>
      <c r="D41" s="33" t="str">
        <f t="shared" si="3"/>
        <v>0</v>
      </c>
      <c r="E41" s="33" t="str">
        <f t="shared" si="4"/>
        <v>0</v>
      </c>
      <c r="F41" s="3"/>
      <c r="G41" s="9">
        <v>0</v>
      </c>
      <c r="H41" s="21">
        <v>0</v>
      </c>
      <c r="I41" s="21">
        <v>0</v>
      </c>
      <c r="J41" s="21">
        <v>0</v>
      </c>
      <c r="K41" s="34">
        <v>0</v>
      </c>
      <c r="L41" s="3">
        <v>0</v>
      </c>
      <c r="M41" s="3">
        <v>0</v>
      </c>
      <c r="N41" s="34">
        <v>0</v>
      </c>
      <c r="O41" s="9">
        <v>0</v>
      </c>
      <c r="P41" s="33">
        <v>0</v>
      </c>
      <c r="Q41" s="33">
        <v>0</v>
      </c>
      <c r="R41" s="10">
        <v>0</v>
      </c>
      <c r="S41" s="35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1</v>
      </c>
      <c r="BK41" s="4">
        <v>1</v>
      </c>
      <c r="BL41" s="4">
        <v>1</v>
      </c>
      <c r="BM41" s="4">
        <v>1</v>
      </c>
      <c r="BN41" s="4">
        <v>0</v>
      </c>
    </row>
    <row r="42" spans="1:66" x14ac:dyDescent="0.3">
      <c r="A42" s="21" t="str">
        <f t="shared" si="6"/>
        <v>19h</v>
      </c>
      <c r="B42" s="33" t="str">
        <f t="shared" si="1"/>
        <v>01960000</v>
      </c>
      <c r="C42" s="22" t="str">
        <f t="shared" si="2"/>
        <v>00000060</v>
      </c>
      <c r="D42" s="33" t="str">
        <f t="shared" si="3"/>
        <v>19</v>
      </c>
      <c r="E42" s="33" t="str">
        <f t="shared" si="4"/>
        <v>6</v>
      </c>
      <c r="F42" s="3"/>
      <c r="G42" s="9">
        <v>0</v>
      </c>
      <c r="H42" s="21">
        <v>0</v>
      </c>
      <c r="I42" s="21">
        <v>0</v>
      </c>
      <c r="J42" s="21">
        <v>1</v>
      </c>
      <c r="K42" s="34">
        <v>1</v>
      </c>
      <c r="L42" s="3">
        <v>0</v>
      </c>
      <c r="M42" s="3">
        <v>0</v>
      </c>
      <c r="N42" s="34">
        <v>1</v>
      </c>
      <c r="O42" s="9">
        <v>0</v>
      </c>
      <c r="P42" s="33">
        <v>1</v>
      </c>
      <c r="Q42" s="33">
        <v>1</v>
      </c>
      <c r="R42" s="10">
        <v>0</v>
      </c>
      <c r="S42" s="35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</row>
    <row r="43" spans="1:66" x14ac:dyDescent="0.3">
      <c r="A43" s="21" t="str">
        <f t="shared" si="6"/>
        <v>1Ah</v>
      </c>
      <c r="B43" s="33" t="str">
        <f t="shared" si="1"/>
        <v>00000000</v>
      </c>
      <c r="C43" s="22" t="str">
        <f t="shared" si="2"/>
        <v>00000080</v>
      </c>
      <c r="D43" s="33" t="str">
        <f t="shared" si="3"/>
        <v>0</v>
      </c>
      <c r="E43" s="33" t="str">
        <f t="shared" si="4"/>
        <v>0</v>
      </c>
      <c r="F43" s="3"/>
      <c r="G43" s="9">
        <v>0</v>
      </c>
      <c r="H43" s="21">
        <v>0</v>
      </c>
      <c r="I43" s="21">
        <v>0</v>
      </c>
      <c r="J43" s="21">
        <v>0</v>
      </c>
      <c r="K43" s="34">
        <v>0</v>
      </c>
      <c r="L43" s="3">
        <v>0</v>
      </c>
      <c r="M43" s="3">
        <v>0</v>
      </c>
      <c r="N43" s="34">
        <v>0</v>
      </c>
      <c r="O43" s="9">
        <v>0</v>
      </c>
      <c r="P43" s="33">
        <v>0</v>
      </c>
      <c r="Q43" s="33">
        <v>0</v>
      </c>
      <c r="R43" s="10">
        <v>0</v>
      </c>
      <c r="S43" s="35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1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</row>
    <row r="44" spans="1:66" x14ac:dyDescent="0.3">
      <c r="A44" s="21" t="str">
        <f t="shared" si="6"/>
        <v>1Bh</v>
      </c>
      <c r="B44" s="33" t="str">
        <f t="shared" si="1"/>
        <v>00000000</v>
      </c>
      <c r="C44" s="22" t="str">
        <f t="shared" si="2"/>
        <v>0000001E</v>
      </c>
      <c r="D44" s="33" t="str">
        <f t="shared" si="3"/>
        <v>0</v>
      </c>
      <c r="E44" s="33" t="str">
        <f t="shared" si="4"/>
        <v>0</v>
      </c>
      <c r="F44" s="3"/>
      <c r="G44" s="9">
        <v>0</v>
      </c>
      <c r="H44" s="21">
        <v>0</v>
      </c>
      <c r="I44" s="21">
        <v>0</v>
      </c>
      <c r="J44" s="21">
        <v>0</v>
      </c>
      <c r="K44" s="34">
        <v>0</v>
      </c>
      <c r="L44" s="3">
        <v>0</v>
      </c>
      <c r="M44" s="3">
        <v>0</v>
      </c>
      <c r="N44" s="34">
        <v>0</v>
      </c>
      <c r="O44" s="9">
        <v>0</v>
      </c>
      <c r="P44" s="33">
        <v>0</v>
      </c>
      <c r="Q44" s="33">
        <v>0</v>
      </c>
      <c r="R44" s="10">
        <v>0</v>
      </c>
      <c r="S44" s="35">
        <v>0</v>
      </c>
      <c r="T44" s="33">
        <v>0</v>
      </c>
      <c r="U44" s="33">
        <v>0</v>
      </c>
      <c r="V44" s="33">
        <v>0</v>
      </c>
      <c r="W44" s="33">
        <v>0</v>
      </c>
      <c r="X44" s="33">
        <v>0</v>
      </c>
      <c r="Y44" s="33">
        <v>0</v>
      </c>
      <c r="Z44" s="33">
        <v>0</v>
      </c>
      <c r="AA44" s="33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1</v>
      </c>
      <c r="BK44" s="4">
        <v>1</v>
      </c>
      <c r="BL44" s="4">
        <v>1</v>
      </c>
      <c r="BM44" s="4">
        <v>1</v>
      </c>
      <c r="BN44" s="4">
        <v>0</v>
      </c>
    </row>
    <row r="45" spans="1:66" x14ac:dyDescent="0.3">
      <c r="A45" s="21" t="str">
        <f t="shared" si="6"/>
        <v>1Ch</v>
      </c>
      <c r="B45" s="33" t="str">
        <f t="shared" si="1"/>
        <v>01C60000</v>
      </c>
      <c r="C45" s="22" t="str">
        <f t="shared" si="2"/>
        <v>00000060</v>
      </c>
      <c r="D45" s="33" t="str">
        <f t="shared" si="3"/>
        <v>1C</v>
      </c>
      <c r="E45" s="33" t="str">
        <f t="shared" si="4"/>
        <v>6</v>
      </c>
      <c r="F45" s="3"/>
      <c r="G45" s="9">
        <v>0</v>
      </c>
      <c r="H45" s="21">
        <v>0</v>
      </c>
      <c r="I45" s="21">
        <v>0</v>
      </c>
      <c r="J45" s="21">
        <v>1</v>
      </c>
      <c r="K45" s="34">
        <v>1</v>
      </c>
      <c r="L45" s="3">
        <v>1</v>
      </c>
      <c r="M45" s="3">
        <v>0</v>
      </c>
      <c r="N45" s="34">
        <v>0</v>
      </c>
      <c r="O45" s="9">
        <v>0</v>
      </c>
      <c r="P45" s="33">
        <v>1</v>
      </c>
      <c r="Q45" s="33">
        <v>1</v>
      </c>
      <c r="R45" s="10">
        <v>0</v>
      </c>
      <c r="S45" s="35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</row>
    <row r="46" spans="1:66" x14ac:dyDescent="0.3">
      <c r="A46" s="21" t="str">
        <f t="shared" si="6"/>
        <v>1Dh</v>
      </c>
      <c r="B46" s="33" t="str">
        <f t="shared" si="1"/>
        <v>00000000</v>
      </c>
      <c r="C46" s="22" t="str">
        <f t="shared" si="2"/>
        <v>00000100</v>
      </c>
      <c r="D46" s="33" t="str">
        <f t="shared" si="3"/>
        <v>0</v>
      </c>
      <c r="E46" s="33" t="str">
        <f t="shared" si="4"/>
        <v>0</v>
      </c>
      <c r="F46" s="3"/>
      <c r="G46" s="9">
        <v>0</v>
      </c>
      <c r="H46" s="21">
        <v>0</v>
      </c>
      <c r="I46" s="21">
        <v>0</v>
      </c>
      <c r="J46" s="21">
        <v>0</v>
      </c>
      <c r="K46" s="34">
        <v>0</v>
      </c>
      <c r="L46" s="3">
        <v>0</v>
      </c>
      <c r="M46" s="3">
        <v>0</v>
      </c>
      <c r="N46" s="34">
        <v>0</v>
      </c>
      <c r="O46" s="9">
        <v>0</v>
      </c>
      <c r="P46" s="33">
        <v>0</v>
      </c>
      <c r="Q46" s="33">
        <v>0</v>
      </c>
      <c r="R46" s="10">
        <v>0</v>
      </c>
      <c r="S46" s="35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1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</row>
    <row r="47" spans="1:66" x14ac:dyDescent="0.3">
      <c r="A47" s="21" t="str">
        <f t="shared" si="6"/>
        <v>1Eh</v>
      </c>
      <c r="B47" s="33" t="str">
        <f t="shared" si="1"/>
        <v>05D10000</v>
      </c>
      <c r="C47" s="22" t="str">
        <f t="shared" si="2"/>
        <v>00000A00</v>
      </c>
      <c r="D47" s="33" t="str">
        <f t="shared" si="3"/>
        <v>5D</v>
      </c>
      <c r="E47" s="33" t="str">
        <f t="shared" si="4"/>
        <v>1</v>
      </c>
      <c r="F47" s="3"/>
      <c r="G47" s="9">
        <v>0</v>
      </c>
      <c r="H47" s="21">
        <v>1</v>
      </c>
      <c r="I47" s="21">
        <v>0</v>
      </c>
      <c r="J47" s="21">
        <v>1</v>
      </c>
      <c r="K47" s="34">
        <v>1</v>
      </c>
      <c r="L47" s="3">
        <v>1</v>
      </c>
      <c r="M47" s="3">
        <v>0</v>
      </c>
      <c r="N47" s="34">
        <v>1</v>
      </c>
      <c r="O47" s="9">
        <v>0</v>
      </c>
      <c r="P47" s="33">
        <v>0</v>
      </c>
      <c r="Q47" s="33">
        <v>0</v>
      </c>
      <c r="R47" s="10">
        <v>1</v>
      </c>
      <c r="S47" s="35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1</v>
      </c>
      <c r="BD47" s="4">
        <v>0</v>
      </c>
      <c r="BE47" s="4">
        <v>1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</row>
    <row r="48" spans="1:66" x14ac:dyDescent="0.3">
      <c r="A48" s="21" t="str">
        <f t="shared" si="6"/>
        <v>1Fh</v>
      </c>
      <c r="B48" s="33" t="str">
        <f t="shared" si="1"/>
        <v>00000000</v>
      </c>
      <c r="C48" s="22" t="str">
        <f t="shared" si="2"/>
        <v>00200000</v>
      </c>
      <c r="D48" s="33" t="str">
        <f t="shared" si="3"/>
        <v>0</v>
      </c>
      <c r="E48" s="33" t="str">
        <f t="shared" si="4"/>
        <v>0</v>
      </c>
      <c r="F48" s="3"/>
      <c r="G48" s="9">
        <v>0</v>
      </c>
      <c r="H48" s="21">
        <v>0</v>
      </c>
      <c r="I48" s="21">
        <v>0</v>
      </c>
      <c r="J48" s="21">
        <v>0</v>
      </c>
      <c r="K48" s="34">
        <v>0</v>
      </c>
      <c r="L48" s="3">
        <v>0</v>
      </c>
      <c r="M48" s="3">
        <v>0</v>
      </c>
      <c r="N48" s="34">
        <v>0</v>
      </c>
      <c r="O48" s="9">
        <v>0</v>
      </c>
      <c r="P48" s="33">
        <v>0</v>
      </c>
      <c r="Q48" s="33">
        <v>0</v>
      </c>
      <c r="R48" s="10">
        <v>0</v>
      </c>
      <c r="S48" s="35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1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</row>
    <row r="49" spans="1:66" x14ac:dyDescent="0.3">
      <c r="A49" s="21" t="str">
        <f t="shared" si="6"/>
        <v>20h</v>
      </c>
      <c r="B49" s="33" t="str">
        <f t="shared" si="1"/>
        <v>00000000</v>
      </c>
      <c r="C49" s="22" t="str">
        <f t="shared" si="2"/>
        <v>00C0004E</v>
      </c>
      <c r="D49" s="33" t="str">
        <f t="shared" si="3"/>
        <v>0</v>
      </c>
      <c r="E49" s="33" t="str">
        <f t="shared" si="4"/>
        <v>0</v>
      </c>
      <c r="F49" s="3"/>
      <c r="G49" s="9">
        <v>0</v>
      </c>
      <c r="H49" s="21">
        <v>0</v>
      </c>
      <c r="I49" s="21">
        <v>0</v>
      </c>
      <c r="J49" s="21">
        <v>0</v>
      </c>
      <c r="K49" s="34">
        <v>0</v>
      </c>
      <c r="L49" s="3">
        <v>0</v>
      </c>
      <c r="M49" s="3">
        <v>0</v>
      </c>
      <c r="N49" s="34">
        <v>0</v>
      </c>
      <c r="O49" s="9">
        <v>0</v>
      </c>
      <c r="P49" s="33">
        <v>0</v>
      </c>
      <c r="Q49" s="33">
        <v>0</v>
      </c>
      <c r="R49" s="10">
        <v>0</v>
      </c>
      <c r="S49" s="35">
        <v>0</v>
      </c>
      <c r="T49" s="33">
        <v>0</v>
      </c>
      <c r="U49" s="33">
        <v>0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1</v>
      </c>
      <c r="AR49" s="4">
        <v>1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</v>
      </c>
      <c r="BI49" s="4">
        <v>0</v>
      </c>
      <c r="BJ49" s="4">
        <v>0</v>
      </c>
      <c r="BK49" s="4">
        <v>1</v>
      </c>
      <c r="BL49" s="4">
        <v>1</v>
      </c>
      <c r="BM49" s="4">
        <v>1</v>
      </c>
      <c r="BN49" s="4">
        <v>0</v>
      </c>
    </row>
    <row r="50" spans="1:66" x14ac:dyDescent="0.3">
      <c r="A50" s="21" t="str">
        <f t="shared" si="6"/>
        <v>21h</v>
      </c>
      <c r="B50" s="33" t="str">
        <f t="shared" si="1"/>
        <v>02160000</v>
      </c>
      <c r="C50" s="22" t="str">
        <f t="shared" si="2"/>
        <v>02000000</v>
      </c>
      <c r="D50" s="33" t="str">
        <f t="shared" si="3"/>
        <v>21</v>
      </c>
      <c r="E50" s="33" t="str">
        <f t="shared" si="4"/>
        <v>6</v>
      </c>
      <c r="F50" s="3"/>
      <c r="G50" s="9">
        <v>0</v>
      </c>
      <c r="H50" s="21">
        <v>0</v>
      </c>
      <c r="I50" s="21">
        <v>1</v>
      </c>
      <c r="J50" s="21">
        <v>0</v>
      </c>
      <c r="K50" s="34">
        <v>0</v>
      </c>
      <c r="L50" s="3">
        <v>0</v>
      </c>
      <c r="M50" s="3">
        <v>0</v>
      </c>
      <c r="N50" s="34">
        <v>1</v>
      </c>
      <c r="O50" s="9">
        <v>0</v>
      </c>
      <c r="P50" s="33">
        <v>1</v>
      </c>
      <c r="Q50" s="33">
        <v>1</v>
      </c>
      <c r="R50" s="10">
        <v>0</v>
      </c>
      <c r="S50" s="35">
        <v>0</v>
      </c>
      <c r="T50" s="33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</row>
    <row r="51" spans="1:66" x14ac:dyDescent="0.3">
      <c r="A51" s="21" t="str">
        <f t="shared" si="6"/>
        <v>22h</v>
      </c>
      <c r="B51" s="33" t="str">
        <f t="shared" si="1"/>
        <v>00000000</v>
      </c>
      <c r="C51" s="22" t="str">
        <f t="shared" si="2"/>
        <v>00200000</v>
      </c>
      <c r="D51" s="33" t="str">
        <f t="shared" si="3"/>
        <v>0</v>
      </c>
      <c r="E51" s="33" t="str">
        <f t="shared" si="4"/>
        <v>0</v>
      </c>
      <c r="F51" s="3"/>
      <c r="G51" s="9">
        <v>0</v>
      </c>
      <c r="H51" s="21">
        <v>0</v>
      </c>
      <c r="I51" s="21">
        <v>0</v>
      </c>
      <c r="J51" s="21">
        <v>0</v>
      </c>
      <c r="K51" s="34">
        <v>0</v>
      </c>
      <c r="L51" s="3">
        <v>0</v>
      </c>
      <c r="M51" s="3">
        <v>0</v>
      </c>
      <c r="N51" s="34">
        <v>0</v>
      </c>
      <c r="O51" s="9">
        <v>0</v>
      </c>
      <c r="P51" s="33">
        <v>0</v>
      </c>
      <c r="Q51" s="33">
        <v>0</v>
      </c>
      <c r="R51" s="10">
        <v>0</v>
      </c>
      <c r="S51" s="35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1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</row>
    <row r="52" spans="1:66" x14ac:dyDescent="0.3">
      <c r="A52" s="21" t="str">
        <f t="shared" si="6"/>
        <v>23h</v>
      </c>
      <c r="B52" s="33" t="str">
        <f t="shared" si="1"/>
        <v>00000000</v>
      </c>
      <c r="C52" s="22" t="str">
        <f t="shared" si="2"/>
        <v>0140004E</v>
      </c>
      <c r="D52" s="33" t="str">
        <f t="shared" si="3"/>
        <v>0</v>
      </c>
      <c r="E52" s="33" t="str">
        <f t="shared" si="4"/>
        <v>0</v>
      </c>
      <c r="F52" s="3"/>
      <c r="G52" s="9">
        <v>0</v>
      </c>
      <c r="H52" s="21">
        <v>0</v>
      </c>
      <c r="I52" s="21">
        <v>0</v>
      </c>
      <c r="J52" s="21">
        <v>0</v>
      </c>
      <c r="K52" s="34">
        <v>0</v>
      </c>
      <c r="L52" s="3">
        <v>0</v>
      </c>
      <c r="M52" s="3">
        <v>0</v>
      </c>
      <c r="N52" s="34">
        <v>0</v>
      </c>
      <c r="O52" s="9">
        <v>0</v>
      </c>
      <c r="P52" s="33">
        <v>0</v>
      </c>
      <c r="Q52" s="33">
        <v>0</v>
      </c>
      <c r="R52" s="10">
        <v>0</v>
      </c>
      <c r="S52" s="35">
        <v>0</v>
      </c>
      <c r="T52" s="33">
        <v>0</v>
      </c>
      <c r="U52" s="33">
        <v>0</v>
      </c>
      <c r="V52" s="33">
        <v>0</v>
      </c>
      <c r="W52" s="33">
        <v>0</v>
      </c>
      <c r="X52" s="33">
        <v>0</v>
      </c>
      <c r="Y52" s="33">
        <v>0</v>
      </c>
      <c r="Z52" s="33">
        <v>0</v>
      </c>
      <c r="AA52" s="33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</v>
      </c>
      <c r="AQ52" s="4">
        <v>0</v>
      </c>
      <c r="AR52" s="4">
        <v>1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0</v>
      </c>
      <c r="BJ52" s="4">
        <v>0</v>
      </c>
      <c r="BK52" s="4">
        <v>1</v>
      </c>
      <c r="BL52" s="4">
        <v>1</v>
      </c>
      <c r="BM52" s="4">
        <v>1</v>
      </c>
      <c r="BN52" s="4">
        <v>0</v>
      </c>
    </row>
    <row r="53" spans="1:66" x14ac:dyDescent="0.3">
      <c r="A53" s="21" t="str">
        <f t="shared" si="6"/>
        <v>24h</v>
      </c>
      <c r="B53" s="33" t="str">
        <f t="shared" si="1"/>
        <v>02460000</v>
      </c>
      <c r="C53" s="22" t="str">
        <f t="shared" si="2"/>
        <v>02000000</v>
      </c>
      <c r="D53" s="33" t="str">
        <f t="shared" si="3"/>
        <v>24</v>
      </c>
      <c r="E53" s="33" t="str">
        <f t="shared" si="4"/>
        <v>6</v>
      </c>
      <c r="F53" s="3"/>
      <c r="G53" s="9">
        <v>0</v>
      </c>
      <c r="H53" s="21">
        <v>0</v>
      </c>
      <c r="I53" s="21">
        <v>1</v>
      </c>
      <c r="J53" s="21">
        <v>0</v>
      </c>
      <c r="K53" s="34">
        <v>0</v>
      </c>
      <c r="L53" s="3">
        <v>1</v>
      </c>
      <c r="M53" s="3">
        <v>0</v>
      </c>
      <c r="N53" s="34">
        <v>0</v>
      </c>
      <c r="O53" s="9">
        <v>0</v>
      </c>
      <c r="P53" s="33">
        <v>1</v>
      </c>
      <c r="Q53" s="33">
        <v>1</v>
      </c>
      <c r="R53" s="10">
        <v>0</v>
      </c>
      <c r="S53" s="35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0</v>
      </c>
      <c r="Z53" s="33">
        <v>0</v>
      </c>
      <c r="AA53" s="33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</row>
    <row r="54" spans="1:66" x14ac:dyDescent="0.3">
      <c r="A54" s="21" t="str">
        <f t="shared" si="6"/>
        <v>25h</v>
      </c>
      <c r="B54" s="33" t="str">
        <f t="shared" si="1"/>
        <v>05D10000</v>
      </c>
      <c r="C54" s="22" t="str">
        <f t="shared" si="2"/>
        <v>00000000</v>
      </c>
      <c r="D54" s="33" t="str">
        <f t="shared" si="3"/>
        <v>5D</v>
      </c>
      <c r="E54" s="33" t="str">
        <f t="shared" si="4"/>
        <v>1</v>
      </c>
      <c r="F54" s="3"/>
      <c r="G54" s="9">
        <v>0</v>
      </c>
      <c r="H54" s="21">
        <v>1</v>
      </c>
      <c r="I54" s="21">
        <v>0</v>
      </c>
      <c r="J54" s="21">
        <v>1</v>
      </c>
      <c r="K54" s="34">
        <v>1</v>
      </c>
      <c r="L54" s="3">
        <v>1</v>
      </c>
      <c r="M54" s="3">
        <v>0</v>
      </c>
      <c r="N54" s="34">
        <v>1</v>
      </c>
      <c r="O54" s="9">
        <v>0</v>
      </c>
      <c r="P54" s="33">
        <v>0</v>
      </c>
      <c r="Q54" s="33">
        <v>0</v>
      </c>
      <c r="R54" s="10">
        <v>1</v>
      </c>
      <c r="S54" s="35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</row>
    <row r="55" spans="1:66" x14ac:dyDescent="0.3">
      <c r="A55" s="21" t="str">
        <f t="shared" si="6"/>
        <v>26h</v>
      </c>
      <c r="B55" s="33" t="str">
        <f t="shared" si="1"/>
        <v>00000000</v>
      </c>
      <c r="C55" s="22" t="str">
        <f t="shared" si="2"/>
        <v>0000001E</v>
      </c>
      <c r="D55" s="33" t="str">
        <f t="shared" si="3"/>
        <v>0</v>
      </c>
      <c r="E55" s="33" t="str">
        <f t="shared" si="4"/>
        <v>0</v>
      </c>
      <c r="F55" s="3"/>
      <c r="G55" s="9">
        <v>0</v>
      </c>
      <c r="H55" s="21">
        <v>0</v>
      </c>
      <c r="I55" s="21">
        <v>0</v>
      </c>
      <c r="J55" s="21">
        <v>0</v>
      </c>
      <c r="K55" s="34">
        <v>0</v>
      </c>
      <c r="L55" s="3">
        <v>0</v>
      </c>
      <c r="M55" s="3">
        <v>0</v>
      </c>
      <c r="N55" s="34">
        <v>0</v>
      </c>
      <c r="O55" s="9">
        <v>0</v>
      </c>
      <c r="P55" s="33">
        <v>0</v>
      </c>
      <c r="Q55" s="33">
        <v>0</v>
      </c>
      <c r="R55" s="10">
        <v>0</v>
      </c>
      <c r="S55" s="35">
        <v>0</v>
      </c>
      <c r="T55" s="33">
        <v>0</v>
      </c>
      <c r="U55" s="33">
        <v>0</v>
      </c>
      <c r="V55" s="33">
        <v>0</v>
      </c>
      <c r="W55" s="33">
        <v>0</v>
      </c>
      <c r="X55" s="33">
        <v>0</v>
      </c>
      <c r="Y55" s="33">
        <v>0</v>
      </c>
      <c r="Z55" s="33">
        <v>0</v>
      </c>
      <c r="AA55" s="33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1</v>
      </c>
      <c r="BK55" s="4">
        <v>1</v>
      </c>
      <c r="BL55" s="4">
        <v>1</v>
      </c>
      <c r="BM55" s="4">
        <v>1</v>
      </c>
      <c r="BN55" s="4">
        <v>0</v>
      </c>
    </row>
    <row r="56" spans="1:66" x14ac:dyDescent="0.3">
      <c r="A56" s="21" t="str">
        <f t="shared" si="6"/>
        <v>27h</v>
      </c>
      <c r="B56" s="33" t="str">
        <f t="shared" si="1"/>
        <v>02760000</v>
      </c>
      <c r="C56" s="22" t="str">
        <f t="shared" si="2"/>
        <v>00000060</v>
      </c>
      <c r="D56" s="33" t="str">
        <f t="shared" si="3"/>
        <v>27</v>
      </c>
      <c r="E56" s="33" t="str">
        <f t="shared" si="4"/>
        <v>6</v>
      </c>
      <c r="F56" s="3"/>
      <c r="G56" s="9">
        <v>0</v>
      </c>
      <c r="H56" s="21">
        <v>0</v>
      </c>
      <c r="I56" s="21">
        <v>1</v>
      </c>
      <c r="J56" s="21">
        <v>0</v>
      </c>
      <c r="K56" s="34">
        <v>0</v>
      </c>
      <c r="L56" s="3">
        <v>1</v>
      </c>
      <c r="M56" s="3">
        <v>1</v>
      </c>
      <c r="N56" s="34">
        <v>1</v>
      </c>
      <c r="O56" s="9">
        <v>0</v>
      </c>
      <c r="P56" s="33">
        <v>1</v>
      </c>
      <c r="Q56" s="33">
        <v>1</v>
      </c>
      <c r="R56" s="10">
        <v>0</v>
      </c>
      <c r="S56" s="35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</row>
    <row r="57" spans="1:66" x14ac:dyDescent="0.3">
      <c r="A57" s="21" t="str">
        <f t="shared" si="6"/>
        <v>28h</v>
      </c>
      <c r="B57" s="33" t="str">
        <f t="shared" si="1"/>
        <v>00000000</v>
      </c>
      <c r="C57" s="22" t="str">
        <f t="shared" si="2"/>
        <v>00000080</v>
      </c>
      <c r="D57" s="33" t="str">
        <f t="shared" si="3"/>
        <v>0</v>
      </c>
      <c r="E57" s="33" t="str">
        <f t="shared" si="4"/>
        <v>0</v>
      </c>
      <c r="F57" s="3"/>
      <c r="G57" s="9">
        <v>0</v>
      </c>
      <c r="H57" s="21">
        <v>0</v>
      </c>
      <c r="I57" s="21">
        <v>0</v>
      </c>
      <c r="J57" s="21">
        <v>0</v>
      </c>
      <c r="K57" s="34">
        <v>0</v>
      </c>
      <c r="L57" s="3">
        <v>0</v>
      </c>
      <c r="M57" s="3">
        <v>0</v>
      </c>
      <c r="N57" s="34">
        <v>0</v>
      </c>
      <c r="O57" s="9">
        <v>0</v>
      </c>
      <c r="P57" s="33">
        <v>0</v>
      </c>
      <c r="Q57" s="33">
        <v>0</v>
      </c>
      <c r="R57" s="10">
        <v>0</v>
      </c>
      <c r="S57" s="35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1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</row>
    <row r="58" spans="1:66" x14ac:dyDescent="0.3">
      <c r="A58" s="21" t="str">
        <f t="shared" si="6"/>
        <v>29h</v>
      </c>
      <c r="B58" s="33" t="str">
        <f t="shared" si="1"/>
        <v>00000000</v>
      </c>
      <c r="C58" s="22" t="str">
        <f t="shared" si="2"/>
        <v>0000001E</v>
      </c>
      <c r="D58" s="33" t="str">
        <f t="shared" si="3"/>
        <v>0</v>
      </c>
      <c r="E58" s="33" t="str">
        <f t="shared" si="4"/>
        <v>0</v>
      </c>
      <c r="F58" s="3"/>
      <c r="G58" s="9">
        <v>0</v>
      </c>
      <c r="H58" s="21">
        <v>0</v>
      </c>
      <c r="I58" s="21">
        <v>0</v>
      </c>
      <c r="J58" s="21">
        <v>0</v>
      </c>
      <c r="K58" s="34">
        <v>0</v>
      </c>
      <c r="L58" s="3">
        <v>0</v>
      </c>
      <c r="M58" s="3">
        <v>0</v>
      </c>
      <c r="N58" s="34">
        <v>0</v>
      </c>
      <c r="O58" s="9">
        <v>0</v>
      </c>
      <c r="P58" s="33">
        <v>0</v>
      </c>
      <c r="Q58" s="33">
        <v>0</v>
      </c>
      <c r="R58" s="10">
        <v>0</v>
      </c>
      <c r="S58" s="35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1</v>
      </c>
      <c r="BK58" s="4">
        <v>1</v>
      </c>
      <c r="BL58" s="4">
        <v>1</v>
      </c>
      <c r="BM58" s="4">
        <v>1</v>
      </c>
      <c r="BN58" s="4">
        <v>0</v>
      </c>
    </row>
    <row r="59" spans="1:66" x14ac:dyDescent="0.3">
      <c r="A59" s="21" t="str">
        <f t="shared" si="6"/>
        <v>2Ah</v>
      </c>
      <c r="B59" s="33" t="str">
        <f t="shared" si="1"/>
        <v>02A60000</v>
      </c>
      <c r="C59" s="22" t="str">
        <f t="shared" si="2"/>
        <v>00000060</v>
      </c>
      <c r="D59" s="33" t="str">
        <f t="shared" si="3"/>
        <v>2A</v>
      </c>
      <c r="E59" s="33" t="str">
        <f t="shared" si="4"/>
        <v>6</v>
      </c>
      <c r="F59" s="3"/>
      <c r="G59" s="9">
        <v>0</v>
      </c>
      <c r="H59" s="21">
        <v>0</v>
      </c>
      <c r="I59" s="21">
        <v>1</v>
      </c>
      <c r="J59" s="21">
        <v>0</v>
      </c>
      <c r="K59" s="34">
        <v>1</v>
      </c>
      <c r="L59" s="3">
        <v>0</v>
      </c>
      <c r="M59" s="3">
        <v>1</v>
      </c>
      <c r="N59" s="34">
        <v>0</v>
      </c>
      <c r="O59" s="9">
        <v>0</v>
      </c>
      <c r="P59" s="33">
        <v>1</v>
      </c>
      <c r="Q59" s="33">
        <v>1</v>
      </c>
      <c r="R59" s="10">
        <v>0</v>
      </c>
      <c r="S59" s="35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</row>
    <row r="60" spans="1:66" x14ac:dyDescent="0.3">
      <c r="A60" s="21" t="str">
        <f t="shared" si="6"/>
        <v>2Bh</v>
      </c>
      <c r="B60" s="33" t="str">
        <f t="shared" si="1"/>
        <v>00000000</v>
      </c>
      <c r="C60" s="22" t="str">
        <f t="shared" si="2"/>
        <v>00000100</v>
      </c>
      <c r="D60" s="33" t="str">
        <f t="shared" si="3"/>
        <v>0</v>
      </c>
      <c r="E60" s="33" t="str">
        <f t="shared" si="4"/>
        <v>0</v>
      </c>
      <c r="F60" s="3"/>
      <c r="G60" s="9">
        <v>0</v>
      </c>
      <c r="H60" s="21">
        <v>0</v>
      </c>
      <c r="I60" s="21">
        <v>0</v>
      </c>
      <c r="J60" s="21">
        <v>0</v>
      </c>
      <c r="K60" s="34">
        <v>0</v>
      </c>
      <c r="L60" s="3">
        <v>0</v>
      </c>
      <c r="M60" s="3">
        <v>0</v>
      </c>
      <c r="N60" s="34">
        <v>0</v>
      </c>
      <c r="O60" s="9">
        <v>0</v>
      </c>
      <c r="P60" s="33">
        <v>0</v>
      </c>
      <c r="Q60" s="33">
        <v>0</v>
      </c>
      <c r="R60" s="10">
        <v>0</v>
      </c>
      <c r="S60" s="35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1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</row>
    <row r="61" spans="1:66" x14ac:dyDescent="0.3">
      <c r="A61" s="21" t="str">
        <f t="shared" si="6"/>
        <v>2Ch</v>
      </c>
      <c r="B61" s="33" t="str">
        <f t="shared" si="1"/>
        <v>05D10000</v>
      </c>
      <c r="C61" s="22" t="str">
        <f t="shared" si="2"/>
        <v>0003F000</v>
      </c>
      <c r="D61" s="33" t="str">
        <f t="shared" si="3"/>
        <v>5D</v>
      </c>
      <c r="E61" s="33" t="str">
        <f t="shared" si="4"/>
        <v>1</v>
      </c>
      <c r="F61" s="3"/>
      <c r="G61" s="9">
        <v>0</v>
      </c>
      <c r="H61" s="21">
        <v>1</v>
      </c>
      <c r="I61" s="21">
        <v>0</v>
      </c>
      <c r="J61" s="21">
        <v>1</v>
      </c>
      <c r="K61" s="34">
        <v>1</v>
      </c>
      <c r="L61" s="3">
        <v>1</v>
      </c>
      <c r="M61" s="3">
        <v>0</v>
      </c>
      <c r="N61" s="34">
        <v>1</v>
      </c>
      <c r="O61" s="9">
        <v>0</v>
      </c>
      <c r="P61" s="33">
        <v>0</v>
      </c>
      <c r="Q61" s="33">
        <v>0</v>
      </c>
      <c r="R61" s="10">
        <v>1</v>
      </c>
      <c r="S61" s="35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1</v>
      </c>
      <c r="AX61" s="4">
        <v>1</v>
      </c>
      <c r="AY61" s="4">
        <v>1</v>
      </c>
      <c r="AZ61" s="4">
        <v>1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</row>
    <row r="62" spans="1:66" x14ac:dyDescent="0.3">
      <c r="A62" s="21" t="str">
        <f t="shared" si="6"/>
        <v>2Dh</v>
      </c>
      <c r="B62" s="33" t="str">
        <f t="shared" si="1"/>
        <v>00000000</v>
      </c>
      <c r="C62" s="22" t="str">
        <f t="shared" si="2"/>
        <v>00200000</v>
      </c>
      <c r="D62" s="33" t="str">
        <f t="shared" si="3"/>
        <v>0</v>
      </c>
      <c r="E62" s="33" t="str">
        <f t="shared" si="4"/>
        <v>0</v>
      </c>
      <c r="F62" s="3"/>
      <c r="G62" s="9">
        <v>0</v>
      </c>
      <c r="H62" s="21">
        <v>0</v>
      </c>
      <c r="I62" s="21">
        <v>0</v>
      </c>
      <c r="J62" s="21">
        <v>0</v>
      </c>
      <c r="K62" s="34">
        <v>0</v>
      </c>
      <c r="L62" s="3">
        <v>0</v>
      </c>
      <c r="M62" s="3">
        <v>0</v>
      </c>
      <c r="N62" s="34">
        <v>0</v>
      </c>
      <c r="O62" s="9">
        <v>0</v>
      </c>
      <c r="P62" s="33">
        <v>0</v>
      </c>
      <c r="Q62" s="33">
        <v>0</v>
      </c>
      <c r="R62" s="10">
        <v>0</v>
      </c>
      <c r="S62" s="35">
        <v>0</v>
      </c>
      <c r="T62" s="33">
        <v>0</v>
      </c>
      <c r="U62" s="33">
        <v>0</v>
      </c>
      <c r="V62" s="33">
        <v>0</v>
      </c>
      <c r="W62" s="33">
        <v>0</v>
      </c>
      <c r="X62" s="33">
        <v>0</v>
      </c>
      <c r="Y62" s="33">
        <v>0</v>
      </c>
      <c r="Z62" s="33">
        <v>0</v>
      </c>
      <c r="AA62" s="33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1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</row>
    <row r="63" spans="1:66" x14ac:dyDescent="0.3">
      <c r="A63" s="21" t="str">
        <f t="shared" si="6"/>
        <v>2Eh</v>
      </c>
      <c r="B63" s="33" t="str">
        <f t="shared" si="1"/>
        <v>00000000</v>
      </c>
      <c r="C63" s="22" t="str">
        <f t="shared" si="2"/>
        <v>0100004E</v>
      </c>
      <c r="D63" s="33" t="str">
        <f t="shared" si="3"/>
        <v>0</v>
      </c>
      <c r="E63" s="33" t="str">
        <f t="shared" si="4"/>
        <v>0</v>
      </c>
      <c r="F63" s="3"/>
      <c r="G63" s="9">
        <v>0</v>
      </c>
      <c r="H63" s="21">
        <v>0</v>
      </c>
      <c r="I63" s="21">
        <v>0</v>
      </c>
      <c r="J63" s="21">
        <v>0</v>
      </c>
      <c r="K63" s="34">
        <v>0</v>
      </c>
      <c r="L63" s="3">
        <v>0</v>
      </c>
      <c r="M63" s="3">
        <v>0</v>
      </c>
      <c r="N63" s="34">
        <v>0</v>
      </c>
      <c r="O63" s="9">
        <v>0</v>
      </c>
      <c r="P63" s="33">
        <v>0</v>
      </c>
      <c r="Q63" s="33">
        <v>0</v>
      </c>
      <c r="R63" s="10">
        <v>0</v>
      </c>
      <c r="S63" s="35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0</v>
      </c>
      <c r="Z63" s="33">
        <v>0</v>
      </c>
      <c r="AA63" s="33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0</v>
      </c>
      <c r="BJ63" s="4">
        <v>0</v>
      </c>
      <c r="BK63" s="4">
        <v>1</v>
      </c>
      <c r="BL63" s="4">
        <v>1</v>
      </c>
      <c r="BM63" s="4">
        <v>1</v>
      </c>
      <c r="BN63" s="4">
        <v>0</v>
      </c>
    </row>
    <row r="64" spans="1:66" x14ac:dyDescent="0.3">
      <c r="A64" s="21" t="str">
        <f t="shared" si="6"/>
        <v>2Fh</v>
      </c>
      <c r="B64" s="33" t="str">
        <f t="shared" si="1"/>
        <v>02F60000</v>
      </c>
      <c r="C64" s="22" t="str">
        <f t="shared" si="2"/>
        <v>02000000</v>
      </c>
      <c r="D64" s="33" t="str">
        <f t="shared" si="3"/>
        <v>2F</v>
      </c>
      <c r="E64" s="33" t="str">
        <f t="shared" si="4"/>
        <v>6</v>
      </c>
      <c r="F64" s="3"/>
      <c r="G64" s="9">
        <v>0</v>
      </c>
      <c r="H64" s="21">
        <v>0</v>
      </c>
      <c r="I64" s="21">
        <v>1</v>
      </c>
      <c r="J64" s="21">
        <v>0</v>
      </c>
      <c r="K64" s="34">
        <v>1</v>
      </c>
      <c r="L64" s="3">
        <v>1</v>
      </c>
      <c r="M64" s="3">
        <v>1</v>
      </c>
      <c r="N64" s="34">
        <v>1</v>
      </c>
      <c r="O64" s="9">
        <v>0</v>
      </c>
      <c r="P64" s="33">
        <v>1</v>
      </c>
      <c r="Q64" s="33">
        <v>1</v>
      </c>
      <c r="R64" s="10">
        <v>0</v>
      </c>
      <c r="S64" s="35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</row>
    <row r="65" spans="1:66" x14ac:dyDescent="0.3">
      <c r="A65" s="21" t="str">
        <f t="shared" si="6"/>
        <v>30h</v>
      </c>
      <c r="B65" s="33" t="str">
        <f t="shared" si="1"/>
        <v>00000000</v>
      </c>
      <c r="C65" s="22" t="str">
        <f t="shared" si="2"/>
        <v>00200000</v>
      </c>
      <c r="D65" s="33" t="str">
        <f t="shared" si="3"/>
        <v>0</v>
      </c>
      <c r="E65" s="33" t="str">
        <f t="shared" si="4"/>
        <v>0</v>
      </c>
      <c r="F65" s="3"/>
      <c r="G65" s="9">
        <v>0</v>
      </c>
      <c r="H65" s="21">
        <v>0</v>
      </c>
      <c r="I65" s="21">
        <v>0</v>
      </c>
      <c r="J65" s="21">
        <v>0</v>
      </c>
      <c r="K65" s="34">
        <v>0</v>
      </c>
      <c r="L65" s="3">
        <v>0</v>
      </c>
      <c r="M65" s="3">
        <v>0</v>
      </c>
      <c r="N65" s="34">
        <v>0</v>
      </c>
      <c r="O65" s="9">
        <v>0</v>
      </c>
      <c r="P65" s="33">
        <v>0</v>
      </c>
      <c r="Q65" s="33">
        <v>0</v>
      </c>
      <c r="R65" s="10">
        <v>0</v>
      </c>
      <c r="S65" s="35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1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</row>
    <row r="66" spans="1:66" x14ac:dyDescent="0.3">
      <c r="A66" s="21" t="str">
        <f t="shared" si="6"/>
        <v>31h</v>
      </c>
      <c r="B66" s="33" t="str">
        <f t="shared" si="1"/>
        <v>00000000</v>
      </c>
      <c r="C66" s="22" t="str">
        <f t="shared" si="2"/>
        <v>0080004E</v>
      </c>
      <c r="D66" s="33" t="str">
        <f t="shared" si="3"/>
        <v>0</v>
      </c>
      <c r="E66" s="33" t="str">
        <f t="shared" si="4"/>
        <v>0</v>
      </c>
      <c r="F66" s="3"/>
      <c r="G66" s="9">
        <v>0</v>
      </c>
      <c r="H66" s="21">
        <v>0</v>
      </c>
      <c r="I66" s="21">
        <v>0</v>
      </c>
      <c r="J66" s="21">
        <v>0</v>
      </c>
      <c r="K66" s="34">
        <v>0</v>
      </c>
      <c r="L66" s="3">
        <v>0</v>
      </c>
      <c r="M66" s="3">
        <v>0</v>
      </c>
      <c r="N66" s="34">
        <v>0</v>
      </c>
      <c r="O66" s="9">
        <v>0</v>
      </c>
      <c r="P66" s="33">
        <v>0</v>
      </c>
      <c r="Q66" s="33">
        <v>0</v>
      </c>
      <c r="R66" s="10">
        <v>0</v>
      </c>
      <c r="S66" s="35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1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0</v>
      </c>
      <c r="BJ66" s="4">
        <v>0</v>
      </c>
      <c r="BK66" s="4">
        <v>1</v>
      </c>
      <c r="BL66" s="4">
        <v>1</v>
      </c>
      <c r="BM66" s="4">
        <v>1</v>
      </c>
      <c r="BN66" s="4">
        <v>0</v>
      </c>
    </row>
    <row r="67" spans="1:66" x14ac:dyDescent="0.3">
      <c r="A67" s="21" t="str">
        <f t="shared" si="6"/>
        <v>32h</v>
      </c>
      <c r="B67" s="33" t="str">
        <f t="shared" si="1"/>
        <v>03260000</v>
      </c>
      <c r="C67" s="22" t="str">
        <f t="shared" si="2"/>
        <v>02000000</v>
      </c>
      <c r="D67" s="33" t="str">
        <f t="shared" si="3"/>
        <v>32</v>
      </c>
      <c r="E67" s="33" t="str">
        <f t="shared" si="4"/>
        <v>6</v>
      </c>
      <c r="F67" s="3"/>
      <c r="G67" s="9">
        <v>0</v>
      </c>
      <c r="H67" s="21">
        <v>0</v>
      </c>
      <c r="I67" s="21">
        <v>1</v>
      </c>
      <c r="J67" s="21">
        <v>1</v>
      </c>
      <c r="K67" s="34">
        <v>0</v>
      </c>
      <c r="L67" s="3">
        <v>0</v>
      </c>
      <c r="M67" s="3">
        <v>1</v>
      </c>
      <c r="N67" s="34">
        <v>0</v>
      </c>
      <c r="O67" s="9">
        <v>0</v>
      </c>
      <c r="P67" s="33">
        <v>1</v>
      </c>
      <c r="Q67" s="33">
        <v>1</v>
      </c>
      <c r="R67" s="10">
        <v>0</v>
      </c>
      <c r="S67" s="35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0</v>
      </c>
      <c r="Z67" s="33">
        <v>0</v>
      </c>
      <c r="AA67" s="33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</row>
    <row r="68" spans="1:66" x14ac:dyDescent="0.3">
      <c r="A68" s="21" t="str">
        <f t="shared" si="6"/>
        <v>33h</v>
      </c>
      <c r="B68" s="33" t="str">
        <f t="shared" si="1"/>
        <v>05D10000</v>
      </c>
      <c r="C68" s="22" t="str">
        <f t="shared" si="2"/>
        <v>00000000</v>
      </c>
      <c r="D68" s="33" t="str">
        <f t="shared" si="3"/>
        <v>5D</v>
      </c>
      <c r="E68" s="33" t="str">
        <f t="shared" si="4"/>
        <v>1</v>
      </c>
      <c r="F68" s="3"/>
      <c r="G68" s="9">
        <v>0</v>
      </c>
      <c r="H68" s="21">
        <v>1</v>
      </c>
      <c r="I68" s="21">
        <v>0</v>
      </c>
      <c r="J68" s="21">
        <v>1</v>
      </c>
      <c r="K68" s="34">
        <v>1</v>
      </c>
      <c r="L68" s="3">
        <v>1</v>
      </c>
      <c r="M68" s="3">
        <v>0</v>
      </c>
      <c r="N68" s="34">
        <v>1</v>
      </c>
      <c r="O68" s="9">
        <v>0</v>
      </c>
      <c r="P68" s="33">
        <v>0</v>
      </c>
      <c r="Q68" s="33">
        <v>0</v>
      </c>
      <c r="R68" s="10">
        <v>1</v>
      </c>
      <c r="S68" s="35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</row>
    <row r="69" spans="1:66" x14ac:dyDescent="0.3">
      <c r="A69" s="21" t="str">
        <f t="shared" si="6"/>
        <v>34h</v>
      </c>
      <c r="B69" s="33" t="str">
        <f t="shared" si="1"/>
        <v>00000000</v>
      </c>
      <c r="C69" s="22" t="str">
        <f t="shared" si="2"/>
        <v>0000001E</v>
      </c>
      <c r="D69" s="33" t="str">
        <f t="shared" si="3"/>
        <v>0</v>
      </c>
      <c r="E69" s="33" t="str">
        <f t="shared" si="4"/>
        <v>0</v>
      </c>
      <c r="F69" s="3"/>
      <c r="G69" s="9">
        <v>0</v>
      </c>
      <c r="H69" s="21">
        <v>0</v>
      </c>
      <c r="I69" s="21">
        <v>0</v>
      </c>
      <c r="J69" s="21">
        <v>0</v>
      </c>
      <c r="K69" s="34">
        <v>0</v>
      </c>
      <c r="L69" s="3">
        <v>0</v>
      </c>
      <c r="M69" s="3">
        <v>0</v>
      </c>
      <c r="N69" s="34">
        <v>0</v>
      </c>
      <c r="O69" s="9">
        <v>0</v>
      </c>
      <c r="P69" s="33">
        <v>0</v>
      </c>
      <c r="Q69" s="33">
        <v>0</v>
      </c>
      <c r="R69" s="10">
        <v>0</v>
      </c>
      <c r="S69" s="35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1</v>
      </c>
      <c r="BK69" s="4">
        <v>1</v>
      </c>
      <c r="BL69" s="4">
        <v>1</v>
      </c>
      <c r="BM69" s="4">
        <v>1</v>
      </c>
      <c r="BN69" s="4">
        <v>0</v>
      </c>
    </row>
    <row r="70" spans="1:66" x14ac:dyDescent="0.3">
      <c r="A70" s="21" t="str">
        <f t="shared" si="6"/>
        <v>35h</v>
      </c>
      <c r="B70" s="33" t="str">
        <f t="shared" si="1"/>
        <v>03560000</v>
      </c>
      <c r="C70" s="22" t="str">
        <f t="shared" si="2"/>
        <v>00000060</v>
      </c>
      <c r="D70" s="33" t="str">
        <f t="shared" si="3"/>
        <v>35</v>
      </c>
      <c r="E70" s="33" t="str">
        <f t="shared" si="4"/>
        <v>6</v>
      </c>
      <c r="F70" s="3"/>
      <c r="G70" s="9">
        <v>0</v>
      </c>
      <c r="H70" s="21">
        <v>0</v>
      </c>
      <c r="I70" s="21">
        <v>1</v>
      </c>
      <c r="J70" s="21">
        <v>1</v>
      </c>
      <c r="K70" s="34">
        <v>0</v>
      </c>
      <c r="L70" s="3">
        <v>1</v>
      </c>
      <c r="M70" s="3">
        <v>0</v>
      </c>
      <c r="N70" s="34">
        <v>1</v>
      </c>
      <c r="O70" s="9">
        <v>0</v>
      </c>
      <c r="P70" s="33">
        <v>1</v>
      </c>
      <c r="Q70" s="33">
        <v>1</v>
      </c>
      <c r="R70" s="10">
        <v>0</v>
      </c>
      <c r="S70" s="35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</row>
    <row r="71" spans="1:66" x14ac:dyDescent="0.3">
      <c r="A71" s="21" t="str">
        <f t="shared" si="6"/>
        <v>36h</v>
      </c>
      <c r="B71" s="33" t="str">
        <f t="shared" si="1"/>
        <v>00000000</v>
      </c>
      <c r="C71" s="22" t="str">
        <f t="shared" si="2"/>
        <v>00000080</v>
      </c>
      <c r="D71" s="33" t="str">
        <f t="shared" si="3"/>
        <v>0</v>
      </c>
      <c r="E71" s="33" t="str">
        <f t="shared" si="4"/>
        <v>0</v>
      </c>
      <c r="F71" s="3"/>
      <c r="G71" s="9">
        <v>0</v>
      </c>
      <c r="H71" s="21">
        <v>0</v>
      </c>
      <c r="I71" s="21">
        <v>0</v>
      </c>
      <c r="J71" s="21">
        <v>0</v>
      </c>
      <c r="K71" s="34">
        <v>0</v>
      </c>
      <c r="L71" s="3">
        <v>0</v>
      </c>
      <c r="M71" s="3">
        <v>0</v>
      </c>
      <c r="N71" s="34">
        <v>0</v>
      </c>
      <c r="O71" s="9">
        <v>0</v>
      </c>
      <c r="P71" s="33">
        <v>0</v>
      </c>
      <c r="Q71" s="33">
        <v>0</v>
      </c>
      <c r="R71" s="10">
        <v>0</v>
      </c>
      <c r="S71" s="35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1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</row>
    <row r="72" spans="1:66" x14ac:dyDescent="0.3">
      <c r="A72" s="21" t="str">
        <f t="shared" si="6"/>
        <v>37h</v>
      </c>
      <c r="B72" s="33" t="str">
        <f t="shared" si="1"/>
        <v>00000000</v>
      </c>
      <c r="C72" s="22" t="str">
        <f t="shared" si="2"/>
        <v>0000001E</v>
      </c>
      <c r="D72" s="33" t="str">
        <f t="shared" si="3"/>
        <v>0</v>
      </c>
      <c r="E72" s="33" t="str">
        <f t="shared" si="4"/>
        <v>0</v>
      </c>
      <c r="F72" s="3"/>
      <c r="G72" s="9">
        <v>0</v>
      </c>
      <c r="H72" s="21">
        <v>0</v>
      </c>
      <c r="I72" s="21">
        <v>0</v>
      </c>
      <c r="J72" s="21">
        <v>0</v>
      </c>
      <c r="K72" s="34">
        <v>0</v>
      </c>
      <c r="L72" s="3">
        <v>0</v>
      </c>
      <c r="M72" s="3">
        <v>0</v>
      </c>
      <c r="N72" s="34">
        <v>0</v>
      </c>
      <c r="O72" s="9">
        <v>0</v>
      </c>
      <c r="P72" s="33">
        <v>0</v>
      </c>
      <c r="Q72" s="33">
        <v>0</v>
      </c>
      <c r="R72" s="10">
        <v>0</v>
      </c>
      <c r="S72" s="35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1</v>
      </c>
      <c r="BK72" s="4">
        <v>1</v>
      </c>
      <c r="BL72" s="4">
        <v>1</v>
      </c>
      <c r="BM72" s="4">
        <v>1</v>
      </c>
      <c r="BN72" s="4">
        <v>0</v>
      </c>
    </row>
    <row r="73" spans="1:66" x14ac:dyDescent="0.3">
      <c r="A73" s="21" t="str">
        <f t="shared" si="6"/>
        <v>38h</v>
      </c>
      <c r="B73" s="33" t="str">
        <f t="shared" si="1"/>
        <v>03860000</v>
      </c>
      <c r="C73" s="22" t="str">
        <f t="shared" si="2"/>
        <v>00000060</v>
      </c>
      <c r="D73" s="33" t="str">
        <f t="shared" si="3"/>
        <v>38</v>
      </c>
      <c r="E73" s="33" t="str">
        <f t="shared" si="4"/>
        <v>6</v>
      </c>
      <c r="F73" s="3"/>
      <c r="G73" s="9">
        <v>0</v>
      </c>
      <c r="H73" s="21">
        <v>0</v>
      </c>
      <c r="I73" s="21">
        <v>1</v>
      </c>
      <c r="J73" s="21">
        <v>1</v>
      </c>
      <c r="K73" s="34">
        <v>1</v>
      </c>
      <c r="L73" s="3">
        <v>0</v>
      </c>
      <c r="M73" s="3">
        <v>0</v>
      </c>
      <c r="N73" s="34">
        <v>0</v>
      </c>
      <c r="O73" s="9">
        <v>0</v>
      </c>
      <c r="P73" s="33">
        <v>1</v>
      </c>
      <c r="Q73" s="33">
        <v>1</v>
      </c>
      <c r="R73" s="10">
        <v>0</v>
      </c>
      <c r="S73" s="35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</row>
    <row r="74" spans="1:66" x14ac:dyDescent="0.3">
      <c r="A74" s="21" t="str">
        <f t="shared" si="6"/>
        <v>39h</v>
      </c>
      <c r="B74" s="33" t="str">
        <f t="shared" si="1"/>
        <v>00000000</v>
      </c>
      <c r="C74" s="22" t="str">
        <f t="shared" si="2"/>
        <v>00000100</v>
      </c>
      <c r="D74" s="33" t="str">
        <f t="shared" si="3"/>
        <v>0</v>
      </c>
      <c r="E74" s="33" t="str">
        <f t="shared" si="4"/>
        <v>0</v>
      </c>
      <c r="F74" s="3"/>
      <c r="G74" s="9">
        <v>0</v>
      </c>
      <c r="H74" s="21">
        <v>0</v>
      </c>
      <c r="I74" s="21">
        <v>0</v>
      </c>
      <c r="J74" s="21">
        <v>0</v>
      </c>
      <c r="K74" s="34">
        <v>0</v>
      </c>
      <c r="L74" s="3">
        <v>0</v>
      </c>
      <c r="M74" s="3">
        <v>0</v>
      </c>
      <c r="N74" s="34">
        <v>0</v>
      </c>
      <c r="O74" s="9">
        <v>0</v>
      </c>
      <c r="P74" s="33">
        <v>0</v>
      </c>
      <c r="Q74" s="33">
        <v>0</v>
      </c>
      <c r="R74" s="10">
        <v>0</v>
      </c>
      <c r="S74" s="35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</row>
    <row r="75" spans="1:66" x14ac:dyDescent="0.3">
      <c r="A75" s="21" t="str">
        <f t="shared" si="6"/>
        <v>3Ah</v>
      </c>
      <c r="B75" s="33" t="str">
        <f t="shared" si="1"/>
        <v>00000000</v>
      </c>
      <c r="C75" s="22" t="str">
        <f t="shared" si="2"/>
        <v>00180000</v>
      </c>
      <c r="D75" s="33" t="str">
        <f t="shared" si="3"/>
        <v>0</v>
      </c>
      <c r="E75" s="33" t="str">
        <f t="shared" si="4"/>
        <v>0</v>
      </c>
      <c r="F75" s="3"/>
      <c r="G75" s="9">
        <v>0</v>
      </c>
      <c r="H75" s="21">
        <v>0</v>
      </c>
      <c r="I75" s="21">
        <v>0</v>
      </c>
      <c r="J75" s="21">
        <v>0</v>
      </c>
      <c r="K75" s="34">
        <v>0</v>
      </c>
      <c r="L75" s="3">
        <v>0</v>
      </c>
      <c r="M75" s="3">
        <v>0</v>
      </c>
      <c r="N75" s="34">
        <v>0</v>
      </c>
      <c r="O75" s="9">
        <v>0</v>
      </c>
      <c r="P75" s="33">
        <v>0</v>
      </c>
      <c r="Q75" s="33">
        <v>0</v>
      </c>
      <c r="R75" s="10">
        <v>0</v>
      </c>
      <c r="S75" s="35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1</v>
      </c>
      <c r="AU75" s="4">
        <v>1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</row>
    <row r="76" spans="1:66" x14ac:dyDescent="0.3">
      <c r="A76" s="21" t="str">
        <f t="shared" si="6"/>
        <v>3Bh</v>
      </c>
      <c r="B76" s="33" t="str">
        <f t="shared" si="1"/>
        <v>05D10000</v>
      </c>
      <c r="C76" s="22" t="str">
        <f t="shared" si="2"/>
        <v>00003000</v>
      </c>
      <c r="D76" s="33" t="str">
        <f t="shared" si="3"/>
        <v>5D</v>
      </c>
      <c r="E76" s="33" t="str">
        <f t="shared" si="4"/>
        <v>1</v>
      </c>
      <c r="F76" s="3"/>
      <c r="G76" s="9">
        <v>0</v>
      </c>
      <c r="H76" s="21">
        <v>1</v>
      </c>
      <c r="I76" s="21">
        <v>0</v>
      </c>
      <c r="J76" s="21">
        <v>1</v>
      </c>
      <c r="K76" s="34">
        <v>1</v>
      </c>
      <c r="L76" s="3">
        <v>1</v>
      </c>
      <c r="M76" s="3">
        <v>0</v>
      </c>
      <c r="N76" s="34">
        <v>1</v>
      </c>
      <c r="O76" s="9">
        <v>0</v>
      </c>
      <c r="P76" s="33">
        <v>0</v>
      </c>
      <c r="Q76" s="33">
        <v>0</v>
      </c>
      <c r="R76" s="10">
        <v>1</v>
      </c>
      <c r="S76" s="35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</row>
    <row r="77" spans="1:66" x14ac:dyDescent="0.3">
      <c r="A77" s="21" t="str">
        <f t="shared" si="6"/>
        <v>3Ch</v>
      </c>
      <c r="B77" s="33" t="str">
        <f t="shared" si="1"/>
        <v>05D10000</v>
      </c>
      <c r="C77" s="22" t="str">
        <f t="shared" si="2"/>
        <v>04000000</v>
      </c>
      <c r="D77" s="33" t="str">
        <f t="shared" si="3"/>
        <v>5D</v>
      </c>
      <c r="E77" s="33" t="str">
        <f t="shared" si="4"/>
        <v>1</v>
      </c>
      <c r="F77" s="3"/>
      <c r="G77" s="9">
        <v>0</v>
      </c>
      <c r="H77" s="21">
        <v>1</v>
      </c>
      <c r="I77" s="21">
        <v>0</v>
      </c>
      <c r="J77" s="21">
        <v>1</v>
      </c>
      <c r="K77" s="34">
        <v>1</v>
      </c>
      <c r="L77" s="3">
        <v>1</v>
      </c>
      <c r="M77" s="3">
        <v>0</v>
      </c>
      <c r="N77" s="34">
        <v>1</v>
      </c>
      <c r="O77" s="9">
        <v>0</v>
      </c>
      <c r="P77" s="33">
        <v>0</v>
      </c>
      <c r="Q77" s="33">
        <v>0</v>
      </c>
      <c r="R77" s="10">
        <v>1</v>
      </c>
      <c r="S77" s="35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1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</row>
    <row r="78" spans="1:66" x14ac:dyDescent="0.3">
      <c r="A78" s="21" t="str">
        <f t="shared" si="6"/>
        <v>3Dh</v>
      </c>
      <c r="B78" s="33" t="str">
        <f t="shared" si="1"/>
        <v>05D10000</v>
      </c>
      <c r="C78" s="22" t="str">
        <f t="shared" si="2"/>
        <v>08000000</v>
      </c>
      <c r="D78" s="33" t="str">
        <f t="shared" si="3"/>
        <v>5D</v>
      </c>
      <c r="E78" s="33" t="str">
        <f t="shared" si="4"/>
        <v>1</v>
      </c>
      <c r="F78" s="3"/>
      <c r="G78" s="9">
        <v>0</v>
      </c>
      <c r="H78" s="21">
        <v>1</v>
      </c>
      <c r="I78" s="21">
        <v>0</v>
      </c>
      <c r="J78" s="21">
        <v>1</v>
      </c>
      <c r="K78" s="34">
        <v>1</v>
      </c>
      <c r="L78" s="3">
        <v>1</v>
      </c>
      <c r="M78" s="3">
        <v>0</v>
      </c>
      <c r="N78" s="34">
        <v>1</v>
      </c>
      <c r="O78" s="9">
        <v>0</v>
      </c>
      <c r="P78" s="33">
        <v>0</v>
      </c>
      <c r="Q78" s="33">
        <v>0</v>
      </c>
      <c r="R78" s="10">
        <v>1</v>
      </c>
      <c r="S78" s="35">
        <v>0</v>
      </c>
      <c r="T78" s="33">
        <v>0</v>
      </c>
      <c r="U78" s="33">
        <v>0</v>
      </c>
      <c r="V78" s="33">
        <v>0</v>
      </c>
      <c r="W78" s="33">
        <v>0</v>
      </c>
      <c r="X78" s="33">
        <v>0</v>
      </c>
      <c r="Y78" s="33">
        <v>0</v>
      </c>
      <c r="Z78" s="33">
        <v>0</v>
      </c>
      <c r="AA78" s="33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1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</row>
    <row r="79" spans="1:66" x14ac:dyDescent="0.3">
      <c r="A79" s="21" t="str">
        <f t="shared" si="6"/>
        <v>3Eh</v>
      </c>
      <c r="B79" s="33" t="str">
        <f t="shared" si="1"/>
        <v>05D30000</v>
      </c>
      <c r="C79" s="22" t="str">
        <f t="shared" si="2"/>
        <v>00000000</v>
      </c>
      <c r="D79" s="33" t="str">
        <f t="shared" si="3"/>
        <v>5D</v>
      </c>
      <c r="E79" s="33" t="str">
        <f t="shared" si="4"/>
        <v>3</v>
      </c>
      <c r="F79" s="3"/>
      <c r="G79" s="9">
        <v>0</v>
      </c>
      <c r="H79" s="21">
        <v>1</v>
      </c>
      <c r="I79" s="21">
        <v>0</v>
      </c>
      <c r="J79" s="21">
        <v>1</v>
      </c>
      <c r="K79" s="34">
        <v>1</v>
      </c>
      <c r="L79" s="3">
        <v>1</v>
      </c>
      <c r="M79" s="3">
        <v>0</v>
      </c>
      <c r="N79" s="34">
        <v>1</v>
      </c>
      <c r="O79" s="9">
        <v>0</v>
      </c>
      <c r="P79" s="33">
        <v>0</v>
      </c>
      <c r="Q79" s="33">
        <v>1</v>
      </c>
      <c r="R79" s="10">
        <v>1</v>
      </c>
      <c r="S79" s="35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3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</row>
    <row r="80" spans="1:66" x14ac:dyDescent="0.3">
      <c r="A80" s="21" t="str">
        <f t="shared" si="6"/>
        <v>3Fh</v>
      </c>
      <c r="B80" s="33" t="str">
        <f t="shared" si="1"/>
        <v>05D10000</v>
      </c>
      <c r="C80" s="22" t="str">
        <f t="shared" si="2"/>
        <v>00000C00</v>
      </c>
      <c r="D80" s="33" t="str">
        <f t="shared" si="3"/>
        <v>5D</v>
      </c>
      <c r="E80" s="33" t="str">
        <f t="shared" si="4"/>
        <v>1</v>
      </c>
      <c r="F80" s="3"/>
      <c r="G80" s="9">
        <v>0</v>
      </c>
      <c r="H80" s="21">
        <v>1</v>
      </c>
      <c r="I80" s="21">
        <v>0</v>
      </c>
      <c r="J80" s="21">
        <v>1</v>
      </c>
      <c r="K80" s="34">
        <v>1</v>
      </c>
      <c r="L80" s="3">
        <v>1</v>
      </c>
      <c r="M80" s="3">
        <v>0</v>
      </c>
      <c r="N80" s="34">
        <v>1</v>
      </c>
      <c r="O80" s="9">
        <v>0</v>
      </c>
      <c r="P80" s="33">
        <v>0</v>
      </c>
      <c r="Q80" s="33">
        <v>0</v>
      </c>
      <c r="R80" s="10">
        <v>1</v>
      </c>
      <c r="S80" s="35">
        <v>0</v>
      </c>
      <c r="T80" s="33">
        <v>0</v>
      </c>
      <c r="U80" s="33">
        <v>0</v>
      </c>
      <c r="V80" s="33">
        <v>0</v>
      </c>
      <c r="W80" s="33">
        <v>0</v>
      </c>
      <c r="X80" s="33">
        <v>0</v>
      </c>
      <c r="Y80" s="33">
        <v>0</v>
      </c>
      <c r="Z80" s="33">
        <v>0</v>
      </c>
      <c r="AA80" s="33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1</v>
      </c>
      <c r="BD80" s="4">
        <v>1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</row>
    <row r="81" spans="1:66" x14ac:dyDescent="0.3">
      <c r="A81" s="21" t="str">
        <f t="shared" si="6"/>
        <v>40h</v>
      </c>
      <c r="B81" s="33" t="str">
        <f t="shared" si="1"/>
        <v>05D30000</v>
      </c>
      <c r="C81" s="22" t="str">
        <f t="shared" si="2"/>
        <v>00000000</v>
      </c>
      <c r="D81" s="33" t="str">
        <f t="shared" si="3"/>
        <v>5D</v>
      </c>
      <c r="E81" s="33" t="str">
        <f t="shared" si="4"/>
        <v>3</v>
      </c>
      <c r="F81" s="3"/>
      <c r="G81" s="9">
        <v>0</v>
      </c>
      <c r="H81" s="21">
        <v>1</v>
      </c>
      <c r="I81" s="21">
        <v>0</v>
      </c>
      <c r="J81" s="21">
        <v>1</v>
      </c>
      <c r="K81" s="34">
        <v>1</v>
      </c>
      <c r="L81" s="3">
        <v>1</v>
      </c>
      <c r="M81" s="3">
        <v>0</v>
      </c>
      <c r="N81" s="34">
        <v>1</v>
      </c>
      <c r="O81" s="9">
        <v>0</v>
      </c>
      <c r="P81" s="33">
        <v>0</v>
      </c>
      <c r="Q81" s="33">
        <v>1</v>
      </c>
      <c r="R81" s="10">
        <v>1</v>
      </c>
      <c r="S81" s="35">
        <v>0</v>
      </c>
      <c r="T81" s="33">
        <v>0</v>
      </c>
      <c r="U81" s="33">
        <v>0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3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</row>
    <row r="82" spans="1:66" x14ac:dyDescent="0.3">
      <c r="A82" s="21" t="str">
        <f t="shared" si="6"/>
        <v>41h</v>
      </c>
      <c r="B82" s="33" t="str">
        <f t="shared" ref="B82:B110" si="7">BIN2HEX(
IF(ISBLANK(G82),0,G82) &amp;
IF(ISBLANK(H82),0,H82)&amp;
IF(ISBLANK(I82),0,I82)&amp;
IF(ISBLANK(J82),0,J82),2)&amp;
BIN2HEX(
IF(ISBLANK(K82),0,K82)&amp;
IF(ISBLANK(L82),0,L82)&amp;
IF(ISBLANK(M82),0,M82) &amp;
IF(ISBLANK(N82),0,N82)&amp;
IF(ISBLANK(O82),0,O82) &amp;
IF(ISBLANK(P82),0,P82) &amp;
IF(ISBLANK(Q82),0,Q82)&amp;
IF(ISBLANK(R82),0,R82),2)&amp;
BIN2HEX(
IF(ISBLANK(S82),0,S82) &amp;
IF(ISBLANK(T82),0,T82)&amp;
IF(ISBLANK(U82),0,U82)&amp;
IF(ISBLANK(V82),0,V82) &amp;
IF(ISBLANK(W82),0,W82)&amp;
IF(ISBLANK(X82),0,X82)&amp;
IF(ISBLANK(Y82),0,Y82)&amp;
IF(ISBLANK(Z82),0,Z82),2)&amp;
BIN2HEX(
IF(ISBLANK(AA82),0,AA82)&amp;
IF(ISBLANK(AB82),0,AB82) &amp;
IF(ISBLANK(AC82),0,AC82)&amp;
IF(ISBLANK(AD82),0,AD82) &amp;
IF(ISBLANK(AE82),0,AE82) &amp;
IF(ISBLANK(AF82),0,AF82)&amp;
IF(ISBLANK(AG82),0,AG82)&amp;
IF(ISBLANK(AH82),0,AH82),2)</f>
        <v>05D10000</v>
      </c>
      <c r="C82" s="22" t="str">
        <f t="shared" ref="C82:C110" si="8">BIN2HEX(
IF(ISBLANK(AI82),0,AI82) &amp;
IF(ISBLANK(AJ82),0,AJ82)&amp;
IF(ISBLANK(AK82),0,AK82)&amp;
IF(ISBLANK(AL82),0,AL82) &amp;
IF(ISBLANK(AM82),0,AM82)&amp;
IF(ISBLANK(AN82),0,AN82)&amp;
IF(ISBLANK(AO82),0,AO82)&amp;
IF(ISBLANK(AP82),0,AP82),2)&amp;
BIN2HEX(
IF(ISBLANK(AQ82),0,AQ82) &amp;
IF(ISBLANK(AR82),0,AR82)&amp;
IF(ISBLANK(AS82),0,AS82)&amp;
IF(ISBLANK(AT82),0,AT82) &amp;
IF(ISBLANK(AU82),0,AU82)&amp;
IF(ISBLANK(AV82),0,AV82)&amp;
IF(ISBLANK(AW82),0,AW82)&amp;
IF(ISBLANK(AX82),0,AX82),2)&amp;
BIN2HEX(
IF(ISBLANK(AY82),0,AY82) &amp;
IF(ISBLANK(AZ82),0,AZ82)&amp;
IF(ISBLANK(BA82),0,BA82)&amp;
IF(ISBLANK(BB82),0,BB82) &amp;
IF(ISBLANK(BC82),0,BC82)&amp;
IF(ISBLANK(BD82),0,BD82)&amp;
IF(ISBLANK(BE82),0,BE82)&amp;
IF(ISBLANK(BF82),0,BF82),2)&amp;
BIN2HEX(
IF(ISBLANK(BG82),0,BG82) &amp;
IF(ISBLANK(BH82),0,BH82)&amp;
IF(ISBLANK(BI82),0,BI82)&amp;
IF(ISBLANK(BJ82),0,BJ82) &amp;
IF(ISBLANK(BK82),0,BK82)&amp;
IF(ISBLANK(BL82),0,BL82)&amp;
IF(ISBLANK(BM82),0,BM82)&amp;
IF(ISBLANK(BN82),0,BN82),2)</f>
        <v>00000E00</v>
      </c>
      <c r="D82" s="33" t="str">
        <f t="shared" ref="D82:D110" si="9">BIN2HEX(
IF(ISBLANK(G82),0,G82) &amp;
IF(ISBLANK(H82),0,H82)&amp;
IF(ISBLANK(I82),0,I82)&amp;
IF(ISBLANK(J82),0,J82)&amp;
IF(ISBLANK(K82),0,K82)&amp;
IF(ISBLANK(L82),0,L82)&amp;
IF(ISBLANK(M82),0,M82)&amp;
IF(ISBLANK(N82),0,N82))</f>
        <v>5D</v>
      </c>
      <c r="E82" s="33" t="str">
        <f t="shared" ref="E82:E110" si="10">BIN2HEX(
IF(ISBLANK(O82),0,O82)&amp;
IF(ISBLANK(P82),0,P82) &amp;
IF(ISBLANK(Q82),0,Q82)&amp;
IF(ISBLANK(R82),0,R82))</f>
        <v>1</v>
      </c>
      <c r="F82" s="3"/>
      <c r="G82" s="9">
        <v>0</v>
      </c>
      <c r="H82" s="21">
        <v>1</v>
      </c>
      <c r="I82" s="21">
        <v>0</v>
      </c>
      <c r="J82" s="21">
        <v>1</v>
      </c>
      <c r="K82" s="34">
        <v>1</v>
      </c>
      <c r="L82" s="3">
        <v>1</v>
      </c>
      <c r="M82" s="3">
        <v>0</v>
      </c>
      <c r="N82" s="34">
        <v>1</v>
      </c>
      <c r="O82" s="9">
        <v>0</v>
      </c>
      <c r="P82" s="33">
        <v>0</v>
      </c>
      <c r="Q82" s="33">
        <v>0</v>
      </c>
      <c r="R82" s="10">
        <v>1</v>
      </c>
      <c r="S82" s="35">
        <v>0</v>
      </c>
      <c r="T82" s="33">
        <v>0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1</v>
      </c>
      <c r="BD82" s="4">
        <v>1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</row>
    <row r="83" spans="1:66" x14ac:dyDescent="0.3">
      <c r="A83" s="21" t="str">
        <f t="shared" si="6"/>
        <v>42h</v>
      </c>
      <c r="B83" s="33" t="str">
        <f t="shared" si="7"/>
        <v>00000000</v>
      </c>
      <c r="C83" s="22" t="str">
        <f t="shared" si="8"/>
        <v>00100000</v>
      </c>
      <c r="D83" s="33" t="str">
        <f t="shared" si="9"/>
        <v>0</v>
      </c>
      <c r="E83" s="33" t="str">
        <f t="shared" si="10"/>
        <v>0</v>
      </c>
      <c r="F83" s="3"/>
      <c r="G83" s="9">
        <v>0</v>
      </c>
      <c r="H83" s="21">
        <v>0</v>
      </c>
      <c r="I83" s="21">
        <v>0</v>
      </c>
      <c r="J83" s="21">
        <v>0</v>
      </c>
      <c r="K83" s="34">
        <v>0</v>
      </c>
      <c r="L83" s="3">
        <v>0</v>
      </c>
      <c r="M83" s="3">
        <v>0</v>
      </c>
      <c r="N83" s="34">
        <v>0</v>
      </c>
      <c r="O83" s="9">
        <v>0</v>
      </c>
      <c r="P83" s="33">
        <v>0</v>
      </c>
      <c r="Q83" s="33">
        <v>0</v>
      </c>
      <c r="R83" s="10">
        <v>0</v>
      </c>
      <c r="S83" s="35">
        <v>0</v>
      </c>
      <c r="T83" s="33">
        <v>0</v>
      </c>
      <c r="U83" s="33">
        <v>0</v>
      </c>
      <c r="V83" s="33">
        <v>0</v>
      </c>
      <c r="W83" s="33">
        <v>0</v>
      </c>
      <c r="X83" s="33">
        <v>0</v>
      </c>
      <c r="Y83" s="33">
        <v>0</v>
      </c>
      <c r="Z83" s="33">
        <v>0</v>
      </c>
      <c r="AA83" s="33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1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</row>
    <row r="84" spans="1:66" x14ac:dyDescent="0.3">
      <c r="A84" s="21" t="str">
        <f t="shared" si="6"/>
        <v>43h</v>
      </c>
      <c r="B84" s="33" t="str">
        <f t="shared" si="7"/>
        <v>05D10000</v>
      </c>
      <c r="C84" s="22" t="str">
        <f t="shared" si="8"/>
        <v>00003000</v>
      </c>
      <c r="D84" s="33" t="str">
        <f t="shared" si="9"/>
        <v>5D</v>
      </c>
      <c r="E84" s="33" t="str">
        <f t="shared" si="10"/>
        <v>1</v>
      </c>
      <c r="F84" s="3"/>
      <c r="G84" s="9">
        <v>0</v>
      </c>
      <c r="H84" s="21">
        <v>1</v>
      </c>
      <c r="I84" s="21">
        <v>0</v>
      </c>
      <c r="J84" s="21">
        <v>1</v>
      </c>
      <c r="K84" s="34">
        <v>1</v>
      </c>
      <c r="L84" s="3">
        <v>1</v>
      </c>
      <c r="M84" s="3">
        <v>0</v>
      </c>
      <c r="N84" s="34">
        <v>1</v>
      </c>
      <c r="O84" s="9">
        <v>0</v>
      </c>
      <c r="P84" s="33">
        <v>0</v>
      </c>
      <c r="Q84" s="33">
        <v>0</v>
      </c>
      <c r="R84" s="10">
        <v>1</v>
      </c>
      <c r="S84" s="35">
        <v>0</v>
      </c>
      <c r="T84" s="33">
        <v>0</v>
      </c>
      <c r="U84" s="33">
        <v>0</v>
      </c>
      <c r="V84" s="33">
        <v>0</v>
      </c>
      <c r="W84" s="33">
        <v>0</v>
      </c>
      <c r="X84" s="33">
        <v>0</v>
      </c>
      <c r="Y84" s="33">
        <v>0</v>
      </c>
      <c r="Z84" s="33">
        <v>0</v>
      </c>
      <c r="AA84" s="33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</row>
    <row r="85" spans="1:66" x14ac:dyDescent="0.3">
      <c r="A85" s="21" t="str">
        <f t="shared" si="6"/>
        <v>44h</v>
      </c>
      <c r="B85" s="33" t="str">
        <f t="shared" si="7"/>
        <v>04A40000</v>
      </c>
      <c r="C85" s="22" t="str">
        <f t="shared" si="8"/>
        <v>00000000</v>
      </c>
      <c r="D85" s="33" t="str">
        <f t="shared" si="9"/>
        <v>4A</v>
      </c>
      <c r="E85" s="33" t="str">
        <f t="shared" si="10"/>
        <v>4</v>
      </c>
      <c r="F85" s="3"/>
      <c r="G85" s="9">
        <v>0</v>
      </c>
      <c r="H85" s="21">
        <v>1</v>
      </c>
      <c r="I85" s="21">
        <v>0</v>
      </c>
      <c r="J85" s="21">
        <v>0</v>
      </c>
      <c r="K85" s="34">
        <v>1</v>
      </c>
      <c r="L85" s="3">
        <v>0</v>
      </c>
      <c r="M85" s="3">
        <v>1</v>
      </c>
      <c r="N85" s="34">
        <v>0</v>
      </c>
      <c r="O85" s="9">
        <v>0</v>
      </c>
      <c r="P85" s="33">
        <v>1</v>
      </c>
      <c r="Q85" s="33">
        <v>0</v>
      </c>
      <c r="R85" s="10">
        <v>0</v>
      </c>
      <c r="S85" s="35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</row>
    <row r="86" spans="1:66" x14ac:dyDescent="0.3">
      <c r="A86" s="21" t="str">
        <f t="shared" si="6"/>
        <v>45h</v>
      </c>
      <c r="B86" s="33" t="str">
        <f t="shared" si="7"/>
        <v>00000000</v>
      </c>
      <c r="C86" s="22" t="str">
        <f t="shared" si="8"/>
        <v>01000040</v>
      </c>
      <c r="D86" s="33" t="str">
        <f t="shared" si="9"/>
        <v>0</v>
      </c>
      <c r="E86" s="33" t="str">
        <f t="shared" si="10"/>
        <v>0</v>
      </c>
      <c r="F86" s="3"/>
      <c r="G86" s="9">
        <v>0</v>
      </c>
      <c r="H86" s="21">
        <v>0</v>
      </c>
      <c r="I86" s="21">
        <v>0</v>
      </c>
      <c r="J86" s="21">
        <v>0</v>
      </c>
      <c r="K86" s="34">
        <v>0</v>
      </c>
      <c r="L86" s="3">
        <v>0</v>
      </c>
      <c r="M86" s="3">
        <v>0</v>
      </c>
      <c r="N86" s="34">
        <v>0</v>
      </c>
      <c r="O86" s="9">
        <v>0</v>
      </c>
      <c r="P86" s="33">
        <v>0</v>
      </c>
      <c r="Q86" s="33">
        <v>0</v>
      </c>
      <c r="R86" s="10">
        <v>0</v>
      </c>
      <c r="S86" s="35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</row>
    <row r="87" spans="1:66" x14ac:dyDescent="0.3">
      <c r="A87" s="21" t="str">
        <f t="shared" si="6"/>
        <v>46h</v>
      </c>
      <c r="B87" s="33" t="str">
        <f t="shared" si="7"/>
        <v>04660000</v>
      </c>
      <c r="C87" s="22" t="str">
        <f t="shared" si="8"/>
        <v>02000000</v>
      </c>
      <c r="D87" s="33" t="str">
        <f t="shared" si="9"/>
        <v>46</v>
      </c>
      <c r="E87" s="33" t="str">
        <f t="shared" si="10"/>
        <v>6</v>
      </c>
      <c r="F87" s="3"/>
      <c r="G87" s="9">
        <v>0</v>
      </c>
      <c r="H87" s="21">
        <v>1</v>
      </c>
      <c r="I87" s="21">
        <v>0</v>
      </c>
      <c r="J87" s="21">
        <v>0</v>
      </c>
      <c r="K87" s="34">
        <v>0</v>
      </c>
      <c r="L87" s="3">
        <v>1</v>
      </c>
      <c r="M87" s="3">
        <v>1</v>
      </c>
      <c r="N87" s="34">
        <v>0</v>
      </c>
      <c r="O87" s="9">
        <v>0</v>
      </c>
      <c r="P87" s="33">
        <v>1</v>
      </c>
      <c r="Q87" s="33">
        <v>1</v>
      </c>
      <c r="R87" s="10">
        <v>0</v>
      </c>
      <c r="S87" s="35">
        <v>0</v>
      </c>
      <c r="T87" s="33">
        <v>0</v>
      </c>
      <c r="U87" s="33">
        <v>0</v>
      </c>
      <c r="V87" s="33">
        <v>0</v>
      </c>
      <c r="W87" s="33">
        <v>0</v>
      </c>
      <c r="X87" s="33">
        <v>0</v>
      </c>
      <c r="Y87" s="33">
        <v>0</v>
      </c>
      <c r="Z87" s="33">
        <v>0</v>
      </c>
      <c r="AA87" s="33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</row>
    <row r="88" spans="1:66" x14ac:dyDescent="0.3">
      <c r="A88" s="21" t="str">
        <f t="shared" si="6"/>
        <v>47h</v>
      </c>
      <c r="B88" s="33" t="str">
        <f t="shared" si="7"/>
        <v>00000000</v>
      </c>
      <c r="C88" s="22" t="str">
        <f t="shared" si="8"/>
        <v>10800040</v>
      </c>
      <c r="D88" s="33" t="str">
        <f t="shared" si="9"/>
        <v>0</v>
      </c>
      <c r="E88" s="33" t="str">
        <f t="shared" si="10"/>
        <v>0</v>
      </c>
      <c r="F88" s="3"/>
      <c r="G88" s="9">
        <v>0</v>
      </c>
      <c r="H88" s="21">
        <v>0</v>
      </c>
      <c r="I88" s="21">
        <v>0</v>
      </c>
      <c r="J88" s="21">
        <v>0</v>
      </c>
      <c r="K88" s="34">
        <v>0</v>
      </c>
      <c r="L88" s="3">
        <v>0</v>
      </c>
      <c r="M88" s="3">
        <v>0</v>
      </c>
      <c r="N88" s="34">
        <v>0</v>
      </c>
      <c r="O88" s="9">
        <v>0</v>
      </c>
      <c r="P88" s="33">
        <v>0</v>
      </c>
      <c r="Q88" s="33">
        <v>0</v>
      </c>
      <c r="R88" s="10">
        <v>0</v>
      </c>
      <c r="S88" s="35">
        <v>0</v>
      </c>
      <c r="T88" s="33">
        <v>0</v>
      </c>
      <c r="U88" s="33">
        <v>0</v>
      </c>
      <c r="V88" s="33">
        <v>0</v>
      </c>
      <c r="W88" s="33">
        <v>0</v>
      </c>
      <c r="X88" s="33">
        <v>0</v>
      </c>
      <c r="Y88" s="33">
        <v>0</v>
      </c>
      <c r="Z88" s="33">
        <v>0</v>
      </c>
      <c r="AA88" s="33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0</v>
      </c>
      <c r="AQ88" s="4">
        <v>1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</row>
    <row r="89" spans="1:66" x14ac:dyDescent="0.3">
      <c r="A89" s="21" t="str">
        <f t="shared" si="6"/>
        <v>48h</v>
      </c>
      <c r="B89" s="33" t="str">
        <f t="shared" si="7"/>
        <v>04860000</v>
      </c>
      <c r="C89" s="22" t="str">
        <f t="shared" si="8"/>
        <v>02000000</v>
      </c>
      <c r="D89" s="33" t="str">
        <f t="shared" si="9"/>
        <v>48</v>
      </c>
      <c r="E89" s="33" t="str">
        <f t="shared" si="10"/>
        <v>6</v>
      </c>
      <c r="F89" s="3"/>
      <c r="G89" s="9">
        <v>0</v>
      </c>
      <c r="H89" s="21">
        <v>1</v>
      </c>
      <c r="I89" s="21">
        <v>0</v>
      </c>
      <c r="J89" s="21">
        <v>0</v>
      </c>
      <c r="K89" s="34">
        <v>1</v>
      </c>
      <c r="L89" s="3">
        <v>0</v>
      </c>
      <c r="M89" s="3">
        <v>0</v>
      </c>
      <c r="N89" s="34">
        <v>0</v>
      </c>
      <c r="O89" s="9">
        <v>0</v>
      </c>
      <c r="P89" s="33">
        <v>1</v>
      </c>
      <c r="Q89" s="33">
        <v>1</v>
      </c>
      <c r="R89" s="10">
        <v>0</v>
      </c>
      <c r="S89" s="35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</row>
    <row r="90" spans="1:66" x14ac:dyDescent="0.3">
      <c r="A90" s="21" t="str">
        <f t="shared" si="6"/>
        <v>49h</v>
      </c>
      <c r="B90" s="33" t="str">
        <f t="shared" si="7"/>
        <v>05D10000</v>
      </c>
      <c r="C90" s="22" t="str">
        <f t="shared" si="8"/>
        <v>00000000</v>
      </c>
      <c r="D90" s="33" t="str">
        <f t="shared" si="9"/>
        <v>5D</v>
      </c>
      <c r="E90" s="33" t="str">
        <f t="shared" si="10"/>
        <v>1</v>
      </c>
      <c r="F90" s="3"/>
      <c r="G90" s="9">
        <v>0</v>
      </c>
      <c r="H90" s="21">
        <v>1</v>
      </c>
      <c r="I90" s="21">
        <v>0</v>
      </c>
      <c r="J90" s="21">
        <v>1</v>
      </c>
      <c r="K90" s="34">
        <v>1</v>
      </c>
      <c r="L90" s="3">
        <v>1</v>
      </c>
      <c r="M90" s="3">
        <v>0</v>
      </c>
      <c r="N90" s="34">
        <v>1</v>
      </c>
      <c r="O90" s="9">
        <v>0</v>
      </c>
      <c r="P90" s="33">
        <v>0</v>
      </c>
      <c r="Q90" s="33">
        <v>0</v>
      </c>
      <c r="R90" s="10">
        <v>1</v>
      </c>
      <c r="S90" s="35">
        <v>0</v>
      </c>
      <c r="T90" s="33">
        <v>0</v>
      </c>
      <c r="U90" s="33">
        <v>0</v>
      </c>
      <c r="V90" s="33">
        <v>0</v>
      </c>
      <c r="W90" s="33">
        <v>0</v>
      </c>
      <c r="X90" s="33">
        <v>0</v>
      </c>
      <c r="Y90" s="33">
        <v>0</v>
      </c>
      <c r="Z90" s="33">
        <v>0</v>
      </c>
      <c r="AA90" s="33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</row>
    <row r="91" spans="1:66" x14ac:dyDescent="0.3">
      <c r="A91" s="21" t="str">
        <f t="shared" si="6"/>
        <v>4Ah</v>
      </c>
      <c r="B91" s="33" t="str">
        <f t="shared" si="7"/>
        <v>05D10000</v>
      </c>
      <c r="C91" s="22" t="str">
        <f t="shared" si="8"/>
        <v>60000000</v>
      </c>
      <c r="D91" s="33" t="str">
        <f t="shared" si="9"/>
        <v>5D</v>
      </c>
      <c r="E91" s="33" t="str">
        <f t="shared" si="10"/>
        <v>1</v>
      </c>
      <c r="F91" s="3"/>
      <c r="G91" s="9">
        <v>0</v>
      </c>
      <c r="H91" s="21">
        <v>1</v>
      </c>
      <c r="I91" s="21">
        <v>0</v>
      </c>
      <c r="J91" s="21">
        <v>1</v>
      </c>
      <c r="K91" s="34">
        <v>1</v>
      </c>
      <c r="L91" s="3">
        <v>1</v>
      </c>
      <c r="M91" s="3">
        <v>0</v>
      </c>
      <c r="N91" s="34">
        <v>1</v>
      </c>
      <c r="O91" s="9">
        <v>0</v>
      </c>
      <c r="P91" s="33">
        <v>0</v>
      </c>
      <c r="Q91" s="33">
        <v>0</v>
      </c>
      <c r="R91" s="10">
        <v>1</v>
      </c>
      <c r="S91" s="35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1</v>
      </c>
      <c r="AK91" s="4">
        <v>1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</row>
    <row r="92" spans="1:66" x14ac:dyDescent="0.3">
      <c r="A92" s="21" t="str">
        <f t="shared" si="6"/>
        <v>4Bh</v>
      </c>
      <c r="B92" s="33" t="str">
        <f t="shared" si="7"/>
        <v>00000000</v>
      </c>
      <c r="C92" s="22" t="str">
        <f t="shared" si="8"/>
        <v>80000180</v>
      </c>
      <c r="D92" s="33" t="str">
        <f t="shared" si="9"/>
        <v>0</v>
      </c>
      <c r="E92" s="33" t="str">
        <f t="shared" si="10"/>
        <v>0</v>
      </c>
      <c r="F92" s="3"/>
      <c r="G92" s="9">
        <v>0</v>
      </c>
      <c r="H92" s="21">
        <v>0</v>
      </c>
      <c r="I92" s="21">
        <v>0</v>
      </c>
      <c r="J92" s="21">
        <v>0</v>
      </c>
      <c r="K92" s="34">
        <v>0</v>
      </c>
      <c r="L92" s="3">
        <v>0</v>
      </c>
      <c r="M92" s="3">
        <v>0</v>
      </c>
      <c r="N92" s="34">
        <v>0</v>
      </c>
      <c r="O92" s="9">
        <v>0</v>
      </c>
      <c r="P92" s="33">
        <v>0</v>
      </c>
      <c r="Q92" s="33">
        <v>0</v>
      </c>
      <c r="R92" s="10">
        <v>0</v>
      </c>
      <c r="S92" s="35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1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1</v>
      </c>
      <c r="BG92" s="4">
        <v>1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</row>
    <row r="93" spans="1:66" x14ac:dyDescent="0.3">
      <c r="A93" s="21" t="str">
        <f t="shared" si="6"/>
        <v>4Ch</v>
      </c>
      <c r="B93" s="33" t="str">
        <f t="shared" si="7"/>
        <v>00000000</v>
      </c>
      <c r="C93" s="22" t="str">
        <f t="shared" si="8"/>
        <v>00200000</v>
      </c>
      <c r="D93" s="33" t="str">
        <f t="shared" si="9"/>
        <v>0</v>
      </c>
      <c r="E93" s="33" t="str">
        <f t="shared" si="10"/>
        <v>0</v>
      </c>
      <c r="F93" s="3"/>
      <c r="G93" s="9">
        <v>0</v>
      </c>
      <c r="H93" s="21">
        <v>0</v>
      </c>
      <c r="I93" s="21">
        <v>0</v>
      </c>
      <c r="J93" s="21">
        <v>0</v>
      </c>
      <c r="K93" s="34">
        <v>0</v>
      </c>
      <c r="L93" s="3">
        <v>0</v>
      </c>
      <c r="M93" s="3">
        <v>0</v>
      </c>
      <c r="N93" s="34">
        <v>0</v>
      </c>
      <c r="O93" s="9">
        <v>0</v>
      </c>
      <c r="P93" s="33">
        <v>0</v>
      </c>
      <c r="Q93" s="33">
        <v>0</v>
      </c>
      <c r="R93" s="10">
        <v>0</v>
      </c>
      <c r="S93" s="35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1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</row>
    <row r="94" spans="1:66" x14ac:dyDescent="0.3">
      <c r="A94" s="21" t="str">
        <f t="shared" si="6"/>
        <v>4Dh</v>
      </c>
      <c r="B94" s="33" t="str">
        <f t="shared" si="7"/>
        <v>00000000</v>
      </c>
      <c r="C94" s="22" t="str">
        <f t="shared" si="8"/>
        <v>0040004E</v>
      </c>
      <c r="D94" s="33" t="str">
        <f t="shared" si="9"/>
        <v>0</v>
      </c>
      <c r="E94" s="33" t="str">
        <f t="shared" si="10"/>
        <v>0</v>
      </c>
      <c r="F94" s="3"/>
      <c r="G94" s="9">
        <v>0</v>
      </c>
      <c r="H94" s="21">
        <v>0</v>
      </c>
      <c r="I94" s="21">
        <v>0</v>
      </c>
      <c r="J94" s="21">
        <v>0</v>
      </c>
      <c r="K94" s="34">
        <v>0</v>
      </c>
      <c r="L94" s="3">
        <v>0</v>
      </c>
      <c r="M94" s="3">
        <v>0</v>
      </c>
      <c r="N94" s="34">
        <v>0</v>
      </c>
      <c r="O94" s="9">
        <v>0</v>
      </c>
      <c r="P94" s="33">
        <v>0</v>
      </c>
      <c r="Q94" s="33">
        <v>0</v>
      </c>
      <c r="R94" s="10">
        <v>0</v>
      </c>
      <c r="S94" s="35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1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0</v>
      </c>
      <c r="BJ94" s="4">
        <v>0</v>
      </c>
      <c r="BK94" s="4">
        <v>1</v>
      </c>
      <c r="BL94" s="4">
        <v>1</v>
      </c>
      <c r="BM94" s="4">
        <v>1</v>
      </c>
      <c r="BN94" s="4">
        <v>0</v>
      </c>
    </row>
    <row r="95" spans="1:66" x14ac:dyDescent="0.3">
      <c r="A95" s="21" t="str">
        <f t="shared" si="6"/>
        <v>4Eh</v>
      </c>
      <c r="B95" s="33" t="str">
        <f t="shared" si="7"/>
        <v>04E60000</v>
      </c>
      <c r="C95" s="22" t="str">
        <f t="shared" si="8"/>
        <v>02000000</v>
      </c>
      <c r="D95" s="33" t="str">
        <f t="shared" si="9"/>
        <v>4E</v>
      </c>
      <c r="E95" s="33" t="str">
        <f t="shared" si="10"/>
        <v>6</v>
      </c>
      <c r="F95" s="3"/>
      <c r="G95" s="9">
        <v>0</v>
      </c>
      <c r="H95" s="21">
        <v>1</v>
      </c>
      <c r="I95" s="21">
        <v>0</v>
      </c>
      <c r="J95" s="21">
        <v>0</v>
      </c>
      <c r="K95" s="34">
        <v>1</v>
      </c>
      <c r="L95" s="3">
        <v>1</v>
      </c>
      <c r="M95" s="3">
        <v>1</v>
      </c>
      <c r="N95" s="34">
        <v>0</v>
      </c>
      <c r="O95" s="9">
        <v>0</v>
      </c>
      <c r="P95" s="33">
        <v>1</v>
      </c>
      <c r="Q95" s="33">
        <v>1</v>
      </c>
      <c r="R95" s="10">
        <v>0</v>
      </c>
      <c r="S95" s="35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</row>
    <row r="96" spans="1:66" x14ac:dyDescent="0.3">
      <c r="A96" s="21" t="str">
        <f t="shared" si="6"/>
        <v>4Fh</v>
      </c>
      <c r="B96" s="33" t="str">
        <f t="shared" si="7"/>
        <v>00000000</v>
      </c>
      <c r="C96" s="22" t="str">
        <f t="shared" si="8"/>
        <v>00200000</v>
      </c>
      <c r="D96" s="33" t="str">
        <f t="shared" si="9"/>
        <v>0</v>
      </c>
      <c r="E96" s="33" t="str">
        <f t="shared" si="10"/>
        <v>0</v>
      </c>
      <c r="F96" s="3"/>
      <c r="G96" s="9">
        <v>0</v>
      </c>
      <c r="H96" s="21">
        <v>0</v>
      </c>
      <c r="I96" s="21">
        <v>0</v>
      </c>
      <c r="J96" s="21">
        <v>0</v>
      </c>
      <c r="K96" s="34">
        <v>0</v>
      </c>
      <c r="L96" s="3">
        <v>0</v>
      </c>
      <c r="M96" s="3">
        <v>0</v>
      </c>
      <c r="N96" s="34">
        <v>0</v>
      </c>
      <c r="O96" s="9">
        <v>0</v>
      </c>
      <c r="P96" s="33">
        <v>0</v>
      </c>
      <c r="Q96" s="33">
        <v>0</v>
      </c>
      <c r="R96" s="10">
        <v>0</v>
      </c>
      <c r="S96" s="35">
        <v>0</v>
      </c>
      <c r="T96" s="33">
        <v>0</v>
      </c>
      <c r="U96" s="33">
        <v>0</v>
      </c>
      <c r="V96" s="33">
        <v>0</v>
      </c>
      <c r="W96" s="33">
        <v>0</v>
      </c>
      <c r="X96" s="33">
        <v>0</v>
      </c>
      <c r="Y96" s="33">
        <v>0</v>
      </c>
      <c r="Z96" s="33">
        <v>0</v>
      </c>
      <c r="AA96" s="33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1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</row>
    <row r="97" spans="1:66" x14ac:dyDescent="0.3">
      <c r="A97" s="21" t="str">
        <f t="shared" ref="A97:A110" si="11">DEC2HEX(HEX2DEC(LEFT(A96,LEN(A96)-1))+1)&amp;"h"</f>
        <v>50h</v>
      </c>
      <c r="B97" s="33" t="str">
        <f t="shared" si="7"/>
        <v>00000000</v>
      </c>
      <c r="C97" s="22" t="str">
        <f t="shared" si="8"/>
        <v>0180004E</v>
      </c>
      <c r="D97" s="33" t="str">
        <f t="shared" si="9"/>
        <v>0</v>
      </c>
      <c r="E97" s="33" t="str">
        <f t="shared" si="10"/>
        <v>0</v>
      </c>
      <c r="F97" s="3"/>
      <c r="G97" s="9">
        <v>0</v>
      </c>
      <c r="H97" s="21">
        <v>0</v>
      </c>
      <c r="I97" s="21">
        <v>0</v>
      </c>
      <c r="J97" s="21">
        <v>0</v>
      </c>
      <c r="K97" s="34">
        <v>0</v>
      </c>
      <c r="L97" s="3">
        <v>0</v>
      </c>
      <c r="M97" s="3">
        <v>0</v>
      </c>
      <c r="N97" s="34">
        <v>0</v>
      </c>
      <c r="O97" s="9">
        <v>0</v>
      </c>
      <c r="P97" s="33">
        <v>0</v>
      </c>
      <c r="Q97" s="33">
        <v>0</v>
      </c>
      <c r="R97" s="10">
        <v>0</v>
      </c>
      <c r="S97" s="35">
        <v>0</v>
      </c>
      <c r="T97" s="33">
        <v>0</v>
      </c>
      <c r="U97" s="33">
        <v>0</v>
      </c>
      <c r="V97" s="33">
        <v>0</v>
      </c>
      <c r="W97" s="33">
        <v>0</v>
      </c>
      <c r="X97" s="33">
        <v>0</v>
      </c>
      <c r="Y97" s="33">
        <v>0</v>
      </c>
      <c r="Z97" s="33">
        <v>0</v>
      </c>
      <c r="AA97" s="33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1</v>
      </c>
      <c r="AQ97" s="4">
        <v>1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0</v>
      </c>
      <c r="BJ97" s="4">
        <v>0</v>
      </c>
      <c r="BK97" s="4">
        <v>1</v>
      </c>
      <c r="BL97" s="4">
        <v>1</v>
      </c>
      <c r="BM97" s="4">
        <v>1</v>
      </c>
      <c r="BN97" s="4">
        <v>0</v>
      </c>
    </row>
    <row r="98" spans="1:66" x14ac:dyDescent="0.3">
      <c r="A98" s="21" t="str">
        <f t="shared" si="11"/>
        <v>51h</v>
      </c>
      <c r="B98" s="33" t="str">
        <f t="shared" si="7"/>
        <v>05160000</v>
      </c>
      <c r="C98" s="22" t="str">
        <f t="shared" si="8"/>
        <v>02000000</v>
      </c>
      <c r="D98" s="33" t="str">
        <f t="shared" si="9"/>
        <v>51</v>
      </c>
      <c r="E98" s="33" t="str">
        <f t="shared" si="10"/>
        <v>6</v>
      </c>
      <c r="F98" s="3"/>
      <c r="G98" s="9">
        <v>0</v>
      </c>
      <c r="H98" s="21">
        <v>1</v>
      </c>
      <c r="I98" s="21">
        <v>0</v>
      </c>
      <c r="J98" s="21">
        <v>1</v>
      </c>
      <c r="K98" s="34">
        <v>0</v>
      </c>
      <c r="L98" s="3">
        <v>0</v>
      </c>
      <c r="M98" s="3">
        <v>0</v>
      </c>
      <c r="N98" s="34">
        <v>1</v>
      </c>
      <c r="O98" s="9">
        <v>0</v>
      </c>
      <c r="P98" s="33">
        <v>1</v>
      </c>
      <c r="Q98" s="33">
        <v>1</v>
      </c>
      <c r="R98" s="10">
        <v>0</v>
      </c>
      <c r="S98" s="35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</row>
    <row r="99" spans="1:66" x14ac:dyDescent="0.3">
      <c r="A99" s="21" t="str">
        <f t="shared" si="11"/>
        <v>52h</v>
      </c>
      <c r="B99" s="33" t="str">
        <f t="shared" si="7"/>
        <v>05D10000</v>
      </c>
      <c r="C99" s="22" t="str">
        <f t="shared" si="8"/>
        <v>00000A00</v>
      </c>
      <c r="D99" s="33" t="str">
        <f t="shared" si="9"/>
        <v>5D</v>
      </c>
      <c r="E99" s="33" t="str">
        <f t="shared" si="10"/>
        <v>1</v>
      </c>
      <c r="F99" s="3"/>
      <c r="G99" s="9">
        <v>0</v>
      </c>
      <c r="H99" s="21">
        <v>1</v>
      </c>
      <c r="I99" s="21">
        <v>0</v>
      </c>
      <c r="J99" s="21">
        <v>1</v>
      </c>
      <c r="K99" s="34">
        <v>1</v>
      </c>
      <c r="L99" s="3">
        <v>1</v>
      </c>
      <c r="M99" s="3">
        <v>0</v>
      </c>
      <c r="N99" s="34">
        <v>1</v>
      </c>
      <c r="O99" s="9">
        <v>0</v>
      </c>
      <c r="P99" s="33">
        <v>0</v>
      </c>
      <c r="Q99" s="33">
        <v>0</v>
      </c>
      <c r="R99" s="10">
        <v>1</v>
      </c>
      <c r="S99" s="35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1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</row>
    <row r="100" spans="1:66" x14ac:dyDescent="0.3">
      <c r="A100" s="21" t="str">
        <f t="shared" si="11"/>
        <v>53h</v>
      </c>
      <c r="B100" s="33" t="str">
        <f t="shared" si="7"/>
        <v>05D10001</v>
      </c>
      <c r="C100" s="22" t="str">
        <f t="shared" si="8"/>
        <v>00003000</v>
      </c>
      <c r="D100" s="33" t="str">
        <f t="shared" si="9"/>
        <v>5D</v>
      </c>
      <c r="E100" s="33" t="str">
        <f t="shared" si="10"/>
        <v>1</v>
      </c>
      <c r="F100" s="3"/>
      <c r="G100" s="9">
        <v>0</v>
      </c>
      <c r="H100" s="21">
        <v>1</v>
      </c>
      <c r="I100" s="21">
        <v>0</v>
      </c>
      <c r="J100" s="21">
        <v>1</v>
      </c>
      <c r="K100" s="34">
        <v>1</v>
      </c>
      <c r="L100" s="3">
        <v>1</v>
      </c>
      <c r="M100" s="3">
        <v>0</v>
      </c>
      <c r="N100" s="34">
        <v>1</v>
      </c>
      <c r="O100" s="9">
        <v>0</v>
      </c>
      <c r="P100" s="33">
        <v>0</v>
      </c>
      <c r="Q100" s="33">
        <v>0</v>
      </c>
      <c r="R100" s="10">
        <v>1</v>
      </c>
      <c r="S100" s="35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1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</row>
    <row r="101" spans="1:66" x14ac:dyDescent="0.3">
      <c r="A101" s="21" t="str">
        <f t="shared" si="11"/>
        <v>54h</v>
      </c>
      <c r="B101" s="33" t="str">
        <f t="shared" si="7"/>
        <v>00000002</v>
      </c>
      <c r="C101" s="22" t="str">
        <f t="shared" si="8"/>
        <v>00140000</v>
      </c>
      <c r="D101" s="33" t="str">
        <f t="shared" si="9"/>
        <v>0</v>
      </c>
      <c r="E101" s="33" t="str">
        <f t="shared" si="10"/>
        <v>0</v>
      </c>
      <c r="F101" s="3"/>
      <c r="G101" s="9">
        <v>0</v>
      </c>
      <c r="H101" s="21">
        <v>0</v>
      </c>
      <c r="I101" s="21">
        <v>0</v>
      </c>
      <c r="J101" s="21">
        <v>0</v>
      </c>
      <c r="K101" s="34">
        <v>0</v>
      </c>
      <c r="L101" s="3">
        <v>0</v>
      </c>
      <c r="M101" s="3">
        <v>0</v>
      </c>
      <c r="N101" s="34">
        <v>0</v>
      </c>
      <c r="O101" s="9">
        <v>0</v>
      </c>
      <c r="P101" s="33">
        <v>0</v>
      </c>
      <c r="Q101" s="33">
        <v>0</v>
      </c>
      <c r="R101" s="10">
        <v>0</v>
      </c>
      <c r="S101" s="35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1</v>
      </c>
      <c r="AU101" s="4">
        <v>0</v>
      </c>
      <c r="AV101" s="4">
        <v>1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</row>
    <row r="102" spans="1:66" x14ac:dyDescent="0.3">
      <c r="A102" s="21" t="str">
        <f t="shared" si="11"/>
        <v>55h</v>
      </c>
      <c r="B102" s="33" t="str">
        <f t="shared" si="7"/>
        <v>05D10000</v>
      </c>
      <c r="C102" s="22" t="str">
        <f t="shared" si="8"/>
        <v>00003000</v>
      </c>
      <c r="D102" s="33" t="str">
        <f t="shared" si="9"/>
        <v>5D</v>
      </c>
      <c r="E102" s="33" t="str">
        <f t="shared" si="10"/>
        <v>1</v>
      </c>
      <c r="F102" s="3"/>
      <c r="G102" s="9">
        <v>0</v>
      </c>
      <c r="H102" s="21">
        <v>1</v>
      </c>
      <c r="I102" s="21">
        <v>0</v>
      </c>
      <c r="J102" s="21">
        <v>1</v>
      </c>
      <c r="K102" s="34">
        <v>1</v>
      </c>
      <c r="L102" s="3">
        <v>1</v>
      </c>
      <c r="M102" s="3">
        <v>0</v>
      </c>
      <c r="N102" s="34">
        <v>1</v>
      </c>
      <c r="O102" s="9">
        <v>0</v>
      </c>
      <c r="P102" s="33">
        <v>0</v>
      </c>
      <c r="Q102" s="33">
        <v>0</v>
      </c>
      <c r="R102" s="10">
        <v>1</v>
      </c>
      <c r="S102" s="35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</row>
    <row r="103" spans="1:66" x14ac:dyDescent="0.3">
      <c r="A103" s="21" t="str">
        <f t="shared" si="11"/>
        <v>56h</v>
      </c>
      <c r="B103" s="33" t="str">
        <f t="shared" si="7"/>
        <v>00000008</v>
      </c>
      <c r="C103" s="22" t="str">
        <f t="shared" si="8"/>
        <v>00000000</v>
      </c>
      <c r="D103" s="33" t="str">
        <f t="shared" si="9"/>
        <v>0</v>
      </c>
      <c r="E103" s="33" t="str">
        <f t="shared" si="10"/>
        <v>0</v>
      </c>
      <c r="F103" s="3"/>
      <c r="G103" s="9">
        <v>0</v>
      </c>
      <c r="H103" s="21">
        <v>0</v>
      </c>
      <c r="I103" s="21">
        <v>0</v>
      </c>
      <c r="J103" s="21">
        <v>0</v>
      </c>
      <c r="K103" s="34">
        <v>0</v>
      </c>
      <c r="L103" s="3">
        <v>0</v>
      </c>
      <c r="M103" s="3">
        <v>0</v>
      </c>
      <c r="N103" s="34">
        <v>0</v>
      </c>
      <c r="O103" s="9">
        <v>0</v>
      </c>
      <c r="P103" s="33">
        <v>0</v>
      </c>
      <c r="Q103" s="33">
        <v>0</v>
      </c>
      <c r="R103" s="10">
        <v>0</v>
      </c>
      <c r="S103" s="35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4">
        <v>0</v>
      </c>
      <c r="AC103" s="4">
        <v>0</v>
      </c>
      <c r="AD103" s="4">
        <v>0</v>
      </c>
      <c r="AE103" s="4">
        <v>1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</row>
    <row r="104" spans="1:66" x14ac:dyDescent="0.3">
      <c r="A104" s="21" t="str">
        <f t="shared" si="11"/>
        <v>57h</v>
      </c>
      <c r="B104" s="33" t="str">
        <f t="shared" si="7"/>
        <v>05760000</v>
      </c>
      <c r="C104" s="22" t="str">
        <f t="shared" si="8"/>
        <v>00000060</v>
      </c>
      <c r="D104" s="33" t="str">
        <f t="shared" si="9"/>
        <v>57</v>
      </c>
      <c r="E104" s="33" t="str">
        <f t="shared" si="10"/>
        <v>6</v>
      </c>
      <c r="F104" s="3"/>
      <c r="G104" s="9">
        <v>0</v>
      </c>
      <c r="H104" s="21">
        <v>1</v>
      </c>
      <c r="I104" s="21">
        <v>0</v>
      </c>
      <c r="J104" s="21">
        <v>1</v>
      </c>
      <c r="K104" s="34">
        <v>0</v>
      </c>
      <c r="L104" s="3">
        <v>1</v>
      </c>
      <c r="M104" s="3">
        <v>1</v>
      </c>
      <c r="N104" s="34">
        <v>1</v>
      </c>
      <c r="O104" s="9">
        <v>0</v>
      </c>
      <c r="P104" s="33">
        <v>1</v>
      </c>
      <c r="Q104" s="33">
        <v>1</v>
      </c>
      <c r="R104" s="10">
        <v>0</v>
      </c>
      <c r="S104" s="35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</row>
    <row r="105" spans="1:66" x14ac:dyDescent="0.3">
      <c r="A105" s="21" t="str">
        <f t="shared" si="11"/>
        <v>58h</v>
      </c>
      <c r="B105" s="33" t="str">
        <f t="shared" si="7"/>
        <v>05D50000</v>
      </c>
      <c r="C105" s="22" t="str">
        <f t="shared" si="8"/>
        <v>00000000</v>
      </c>
      <c r="D105" s="33" t="str">
        <f t="shared" si="9"/>
        <v>5D</v>
      </c>
      <c r="E105" s="33" t="str">
        <f t="shared" si="10"/>
        <v>5</v>
      </c>
      <c r="F105" s="3"/>
      <c r="G105" s="9">
        <v>0</v>
      </c>
      <c r="H105" s="21">
        <v>1</v>
      </c>
      <c r="I105" s="21">
        <v>0</v>
      </c>
      <c r="J105" s="21">
        <v>1</v>
      </c>
      <c r="K105" s="34">
        <v>1</v>
      </c>
      <c r="L105" s="3">
        <v>1</v>
      </c>
      <c r="M105" s="3">
        <v>0</v>
      </c>
      <c r="N105" s="34">
        <v>1</v>
      </c>
      <c r="O105" s="9">
        <v>0</v>
      </c>
      <c r="P105" s="33">
        <v>1</v>
      </c>
      <c r="Q105" s="33">
        <v>0</v>
      </c>
      <c r="R105" s="10">
        <v>1</v>
      </c>
      <c r="S105" s="35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</row>
    <row r="106" spans="1:66" x14ac:dyDescent="0.3">
      <c r="A106" s="21" t="str">
        <f t="shared" si="11"/>
        <v>59h</v>
      </c>
      <c r="B106" s="33" t="str">
        <f t="shared" si="7"/>
        <v>00000010</v>
      </c>
      <c r="C106" s="22" t="str">
        <f t="shared" si="8"/>
        <v>10000000</v>
      </c>
      <c r="D106" s="33" t="str">
        <f t="shared" si="9"/>
        <v>0</v>
      </c>
      <c r="E106" s="33" t="str">
        <f t="shared" si="10"/>
        <v>0</v>
      </c>
      <c r="F106" s="3"/>
      <c r="G106" s="9">
        <v>0</v>
      </c>
      <c r="H106" s="21">
        <v>0</v>
      </c>
      <c r="I106" s="21">
        <v>0</v>
      </c>
      <c r="J106" s="21">
        <v>0</v>
      </c>
      <c r="K106" s="34">
        <v>0</v>
      </c>
      <c r="L106" s="3">
        <v>0</v>
      </c>
      <c r="M106" s="3">
        <v>0</v>
      </c>
      <c r="N106" s="34">
        <v>0</v>
      </c>
      <c r="O106" s="9">
        <v>0</v>
      </c>
      <c r="P106" s="33">
        <v>0</v>
      </c>
      <c r="Q106" s="33">
        <v>0</v>
      </c>
      <c r="R106" s="10">
        <v>0</v>
      </c>
      <c r="S106" s="35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4">
        <v>0</v>
      </c>
      <c r="AC106" s="4">
        <v>0</v>
      </c>
      <c r="AD106" s="4">
        <v>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1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</row>
    <row r="107" spans="1:66" x14ac:dyDescent="0.3">
      <c r="A107" s="21" t="str">
        <f t="shared" si="11"/>
        <v>5Ah</v>
      </c>
      <c r="B107" s="33" t="str">
        <f t="shared" si="7"/>
        <v>05710000</v>
      </c>
      <c r="C107" s="22" t="str">
        <f t="shared" si="8"/>
        <v>00003000</v>
      </c>
      <c r="D107" s="33" t="str">
        <f t="shared" si="9"/>
        <v>57</v>
      </c>
      <c r="E107" s="33" t="str">
        <f t="shared" si="10"/>
        <v>1</v>
      </c>
      <c r="F107" s="3"/>
      <c r="G107" s="9">
        <v>0</v>
      </c>
      <c r="H107" s="21">
        <v>1</v>
      </c>
      <c r="I107" s="21">
        <v>0</v>
      </c>
      <c r="J107" s="21">
        <v>1</v>
      </c>
      <c r="K107" s="34">
        <v>0</v>
      </c>
      <c r="L107" s="3">
        <v>1</v>
      </c>
      <c r="M107" s="3">
        <v>1</v>
      </c>
      <c r="N107" s="34">
        <v>1</v>
      </c>
      <c r="O107" s="9">
        <v>0</v>
      </c>
      <c r="P107" s="33">
        <v>0</v>
      </c>
      <c r="Q107" s="33">
        <v>0</v>
      </c>
      <c r="R107" s="10">
        <v>1</v>
      </c>
      <c r="S107" s="35">
        <v>0</v>
      </c>
      <c r="T107" s="33">
        <v>0</v>
      </c>
      <c r="U107" s="33">
        <v>0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</row>
    <row r="108" spans="1:66" x14ac:dyDescent="0.3">
      <c r="A108" s="21" t="str">
        <f t="shared" si="11"/>
        <v>5Bh</v>
      </c>
      <c r="B108" s="33" t="str">
        <f t="shared" si="7"/>
        <v>00000004</v>
      </c>
      <c r="C108" s="22" t="str">
        <f t="shared" si="8"/>
        <v>0014C000</v>
      </c>
      <c r="D108" s="33" t="str">
        <f t="shared" si="9"/>
        <v>0</v>
      </c>
      <c r="E108" s="33" t="str">
        <f t="shared" si="10"/>
        <v>0</v>
      </c>
      <c r="F108" s="3"/>
      <c r="G108" s="9">
        <v>0</v>
      </c>
      <c r="H108" s="21">
        <v>0</v>
      </c>
      <c r="I108" s="21">
        <v>0</v>
      </c>
      <c r="J108" s="21">
        <v>0</v>
      </c>
      <c r="K108" s="34">
        <v>0</v>
      </c>
      <c r="L108" s="3">
        <v>0</v>
      </c>
      <c r="M108" s="3">
        <v>0</v>
      </c>
      <c r="N108" s="34">
        <v>0</v>
      </c>
      <c r="O108" s="9">
        <v>0</v>
      </c>
      <c r="P108" s="33">
        <v>0</v>
      </c>
      <c r="Q108" s="33">
        <v>0</v>
      </c>
      <c r="R108" s="10">
        <v>0</v>
      </c>
      <c r="S108" s="35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1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1</v>
      </c>
      <c r="AU108" s="4">
        <v>0</v>
      </c>
      <c r="AV108" s="4">
        <v>1</v>
      </c>
      <c r="AW108" s="4">
        <v>0</v>
      </c>
      <c r="AX108" s="4">
        <v>0</v>
      </c>
      <c r="AY108" s="4">
        <v>1</v>
      </c>
      <c r="AZ108" s="4">
        <v>1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</row>
    <row r="109" spans="1:66" x14ac:dyDescent="0.3">
      <c r="A109" s="21" t="str">
        <f t="shared" si="11"/>
        <v>5Ch</v>
      </c>
      <c r="B109" s="33" t="str">
        <f t="shared" si="7"/>
        <v>00000000</v>
      </c>
      <c r="C109" s="22" t="str">
        <f t="shared" si="8"/>
        <v>00003000</v>
      </c>
      <c r="D109" s="33" t="str">
        <f t="shared" si="9"/>
        <v>0</v>
      </c>
      <c r="E109" s="33" t="str">
        <f t="shared" si="10"/>
        <v>0</v>
      </c>
      <c r="F109" s="3"/>
      <c r="G109" s="9">
        <v>0</v>
      </c>
      <c r="H109" s="21">
        <v>0</v>
      </c>
      <c r="I109" s="21">
        <v>0</v>
      </c>
      <c r="J109" s="21">
        <v>0</v>
      </c>
      <c r="K109" s="34">
        <v>0</v>
      </c>
      <c r="L109" s="3">
        <v>0</v>
      </c>
      <c r="M109" s="3">
        <v>0</v>
      </c>
      <c r="N109" s="34">
        <v>0</v>
      </c>
      <c r="O109" s="9">
        <v>0</v>
      </c>
      <c r="P109" s="33">
        <v>0</v>
      </c>
      <c r="Q109" s="33">
        <v>0</v>
      </c>
      <c r="R109" s="10">
        <v>0</v>
      </c>
      <c r="S109" s="35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</row>
    <row r="110" spans="1:66" x14ac:dyDescent="0.3">
      <c r="A110" s="21" t="str">
        <f t="shared" si="11"/>
        <v>5Dh</v>
      </c>
      <c r="B110" s="33" t="str">
        <f t="shared" si="7"/>
        <v>00010060</v>
      </c>
      <c r="C110" s="22" t="str">
        <f t="shared" si="8"/>
        <v>00000000</v>
      </c>
      <c r="D110" s="33" t="str">
        <f t="shared" si="9"/>
        <v>0</v>
      </c>
      <c r="E110" s="33" t="str">
        <f t="shared" si="10"/>
        <v>1</v>
      </c>
      <c r="F110" s="3"/>
      <c r="G110" s="9">
        <v>0</v>
      </c>
      <c r="H110" s="21">
        <v>0</v>
      </c>
      <c r="I110" s="21">
        <v>0</v>
      </c>
      <c r="J110" s="21">
        <v>0</v>
      </c>
      <c r="K110" s="34">
        <v>0</v>
      </c>
      <c r="L110" s="3">
        <v>0</v>
      </c>
      <c r="M110" s="3">
        <v>0</v>
      </c>
      <c r="N110" s="34">
        <v>0</v>
      </c>
      <c r="O110" s="9">
        <v>0</v>
      </c>
      <c r="P110" s="33">
        <v>0</v>
      </c>
      <c r="Q110" s="33">
        <v>0</v>
      </c>
      <c r="R110" s="10">
        <v>1</v>
      </c>
      <c r="S110" s="35">
        <v>0</v>
      </c>
      <c r="T110" s="33">
        <v>0</v>
      </c>
      <c r="U110" s="33">
        <v>0</v>
      </c>
      <c r="V110" s="33">
        <v>0</v>
      </c>
      <c r="W110" s="33">
        <v>0</v>
      </c>
      <c r="X110" s="33">
        <v>0</v>
      </c>
      <c r="Y110" s="33">
        <v>0</v>
      </c>
      <c r="Z110" s="33">
        <v>0</v>
      </c>
      <c r="AA110" s="33">
        <v>0</v>
      </c>
      <c r="AB110" s="4">
        <v>1</v>
      </c>
      <c r="AC110" s="4">
        <v>1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</row>
  </sheetData>
  <mergeCells count="21">
    <mergeCell ref="O16:R16"/>
    <mergeCell ref="A7:D7"/>
    <mergeCell ref="A8:D8"/>
    <mergeCell ref="A6:D6"/>
    <mergeCell ref="A9:D9"/>
    <mergeCell ref="A11:D11"/>
    <mergeCell ref="A12:D12"/>
    <mergeCell ref="A15:A16"/>
    <mergeCell ref="B15:B16"/>
    <mergeCell ref="D15:D16"/>
    <mergeCell ref="E15:E16"/>
    <mergeCell ref="F15:F16"/>
    <mergeCell ref="F11:I11"/>
    <mergeCell ref="G16:N16"/>
    <mergeCell ref="F1:I1"/>
    <mergeCell ref="F4:I4"/>
    <mergeCell ref="A5:D5"/>
    <mergeCell ref="C15:C16"/>
    <mergeCell ref="A1:D1"/>
    <mergeCell ref="A2:D2"/>
    <mergeCell ref="A4:D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4791-76DD-4000-A2DA-FF54B0469A15}">
  <dimension ref="A1:AK39"/>
  <sheetViews>
    <sheetView workbookViewId="0">
      <pane ySplit="11" topLeftCell="A12" activePane="bottomLeft" state="frozen"/>
      <selection pane="bottomLeft" sqref="A1:C1"/>
    </sheetView>
  </sheetViews>
  <sheetFormatPr defaultColWidth="8.88671875" defaultRowHeight="14.4" x14ac:dyDescent="0.3"/>
  <cols>
    <col min="1" max="1" width="8.88671875" style="1"/>
    <col min="2" max="2" width="11.109375" style="1" customWidth="1"/>
    <col min="3" max="16384" width="8.88671875" style="1"/>
  </cols>
  <sheetData>
    <row r="1" spans="1:37" x14ac:dyDescent="0.3">
      <c r="A1" s="43" t="s">
        <v>0</v>
      </c>
      <c r="B1" s="43"/>
      <c r="C1" s="43"/>
      <c r="D1" s="25" t="s">
        <v>1</v>
      </c>
      <c r="E1" s="43" t="s">
        <v>2</v>
      </c>
      <c r="F1" s="43"/>
      <c r="G1" s="43"/>
      <c r="H1" s="15"/>
      <c r="I1" s="15"/>
    </row>
    <row r="2" spans="1:37" x14ac:dyDescent="0.3">
      <c r="A2" s="44" t="s">
        <v>3</v>
      </c>
      <c r="B2" s="44"/>
      <c r="C2" s="44"/>
      <c r="D2" s="27">
        <v>1</v>
      </c>
      <c r="E2" s="27">
        <v>0</v>
      </c>
      <c r="F2" s="27">
        <v>0</v>
      </c>
      <c r="G2" s="27">
        <v>1</v>
      </c>
      <c r="H2" s="16"/>
      <c r="I2" s="16"/>
    </row>
    <row r="3" spans="1:37" x14ac:dyDescent="0.3">
      <c r="H3" s="16"/>
      <c r="I3" s="16"/>
    </row>
    <row r="4" spans="1:37" x14ac:dyDescent="0.3">
      <c r="A4" s="43" t="s">
        <v>4</v>
      </c>
      <c r="B4" s="43"/>
      <c r="C4" s="43"/>
      <c r="D4" s="25" t="s">
        <v>1</v>
      </c>
      <c r="E4" s="43" t="s">
        <v>2</v>
      </c>
      <c r="F4" s="43"/>
      <c r="G4" s="43"/>
      <c r="H4" s="15"/>
      <c r="I4" s="15"/>
    </row>
    <row r="5" spans="1:37" x14ac:dyDescent="0.3">
      <c r="A5" s="44" t="s">
        <v>83</v>
      </c>
      <c r="B5" s="44"/>
      <c r="C5" s="44"/>
      <c r="D5" s="27" t="str">
        <f>BIN2HEX(E5&amp;F5&amp;G5)</f>
        <v>2</v>
      </c>
      <c r="E5" s="27">
        <v>0</v>
      </c>
      <c r="F5" s="27">
        <v>1</v>
      </c>
      <c r="G5" s="27">
        <v>0</v>
      </c>
      <c r="H5" s="16"/>
      <c r="I5" s="16"/>
    </row>
    <row r="6" spans="1:37" x14ac:dyDescent="0.3">
      <c r="A6" s="44" t="s">
        <v>87</v>
      </c>
      <c r="B6" s="44"/>
      <c r="C6" s="44"/>
      <c r="D6" s="27" t="str">
        <f t="shared" ref="D6:D7" si="0">BIN2HEX(E6&amp;F6&amp;G6)</f>
        <v>3</v>
      </c>
      <c r="E6" s="27">
        <v>0</v>
      </c>
      <c r="F6" s="27">
        <v>1</v>
      </c>
      <c r="G6" s="27">
        <v>1</v>
      </c>
      <c r="H6" s="16"/>
      <c r="I6" s="16"/>
    </row>
    <row r="7" spans="1:37" x14ac:dyDescent="0.3">
      <c r="A7" s="44" t="s">
        <v>11</v>
      </c>
      <c r="B7" s="44"/>
      <c r="C7" s="44"/>
      <c r="D7" s="27" t="str">
        <f t="shared" si="0"/>
        <v>4</v>
      </c>
      <c r="E7" s="27">
        <v>1</v>
      </c>
      <c r="F7" s="27">
        <v>0</v>
      </c>
      <c r="G7" s="27">
        <v>0</v>
      </c>
      <c r="H7" s="16"/>
      <c r="I7" s="16"/>
    </row>
    <row r="8" spans="1:37" x14ac:dyDescent="0.3">
      <c r="H8" s="16"/>
      <c r="I8" s="16"/>
    </row>
    <row r="10" spans="1:37" x14ac:dyDescent="0.3">
      <c r="A10" s="43" t="s">
        <v>15</v>
      </c>
      <c r="B10" s="43" t="s">
        <v>16</v>
      </c>
      <c r="C10" s="43" t="s">
        <v>17</v>
      </c>
      <c r="D10" s="43" t="s">
        <v>18</v>
      </c>
      <c r="E10" s="46" t="s">
        <v>19</v>
      </c>
      <c r="F10" s="24">
        <v>31</v>
      </c>
      <c r="G10" s="25">
        <v>30</v>
      </c>
      <c r="H10" s="25">
        <v>29</v>
      </c>
      <c r="I10" s="31">
        <v>28</v>
      </c>
      <c r="J10" s="25">
        <v>27</v>
      </c>
      <c r="K10" s="26">
        <v>26</v>
      </c>
      <c r="L10" s="24">
        <v>25</v>
      </c>
      <c r="M10" s="25">
        <v>24</v>
      </c>
      <c r="N10" s="26">
        <v>23</v>
      </c>
      <c r="O10" s="37">
        <v>22</v>
      </c>
      <c r="P10" s="31">
        <v>21</v>
      </c>
      <c r="Q10" s="31">
        <v>20</v>
      </c>
      <c r="R10" s="31">
        <v>19</v>
      </c>
      <c r="S10" s="31">
        <v>18</v>
      </c>
      <c r="T10" s="25">
        <v>17</v>
      </c>
      <c r="U10" s="25">
        <v>16</v>
      </c>
      <c r="V10" s="25">
        <v>15</v>
      </c>
      <c r="W10" s="25">
        <v>14</v>
      </c>
      <c r="X10" s="25">
        <v>13</v>
      </c>
      <c r="Y10" s="25">
        <v>12</v>
      </c>
      <c r="Z10" s="25">
        <v>11</v>
      </c>
      <c r="AA10" s="25">
        <v>10</v>
      </c>
      <c r="AB10" s="25">
        <v>9</v>
      </c>
      <c r="AC10" s="25">
        <v>8</v>
      </c>
      <c r="AD10" s="25">
        <v>7</v>
      </c>
      <c r="AE10" s="25">
        <v>6</v>
      </c>
      <c r="AF10" s="25">
        <v>5</v>
      </c>
      <c r="AG10" s="25">
        <v>4</v>
      </c>
      <c r="AH10" s="25">
        <v>3</v>
      </c>
      <c r="AI10" s="25">
        <v>2</v>
      </c>
      <c r="AJ10" s="25">
        <v>1</v>
      </c>
      <c r="AK10" s="25">
        <v>0</v>
      </c>
    </row>
    <row r="11" spans="1:37" x14ac:dyDescent="0.3">
      <c r="A11" s="43"/>
      <c r="B11" s="43"/>
      <c r="C11" s="43"/>
      <c r="D11" s="43"/>
      <c r="E11" s="46"/>
      <c r="F11" s="45" t="s">
        <v>20</v>
      </c>
      <c r="G11" s="43"/>
      <c r="H11" s="43"/>
      <c r="I11" s="43"/>
      <c r="J11" s="43"/>
      <c r="K11" s="47"/>
      <c r="L11" s="45" t="s">
        <v>21</v>
      </c>
      <c r="M11" s="43"/>
      <c r="N11" s="47"/>
      <c r="O11" s="37"/>
      <c r="P11" s="31"/>
      <c r="Q11" s="31"/>
      <c r="R11" s="31"/>
      <c r="S11" s="31" t="s">
        <v>84</v>
      </c>
      <c r="T11" s="25" t="s">
        <v>85</v>
      </c>
      <c r="U11" s="25" t="s">
        <v>76</v>
      </c>
      <c r="V11" s="25" t="s">
        <v>78</v>
      </c>
      <c r="W11" s="25" t="s">
        <v>80</v>
      </c>
      <c r="X11" s="25" t="s">
        <v>79</v>
      </c>
      <c r="Y11" s="25" t="s">
        <v>40</v>
      </c>
      <c r="Z11" s="25" t="s">
        <v>86</v>
      </c>
      <c r="AA11" s="25" t="s">
        <v>24</v>
      </c>
      <c r="AB11" s="25" t="s">
        <v>62</v>
      </c>
      <c r="AC11" s="25" t="s">
        <v>25</v>
      </c>
      <c r="AD11" s="25" t="s">
        <v>63</v>
      </c>
      <c r="AE11" s="25" t="s">
        <v>64</v>
      </c>
      <c r="AF11" s="25" t="s">
        <v>65</v>
      </c>
      <c r="AG11" s="25" t="s">
        <v>22</v>
      </c>
      <c r="AH11" s="25" t="s">
        <v>42</v>
      </c>
      <c r="AI11" s="25" t="s">
        <v>39</v>
      </c>
      <c r="AJ11" s="25" t="s">
        <v>37</v>
      </c>
      <c r="AK11" s="25" t="s">
        <v>66</v>
      </c>
    </row>
    <row r="12" spans="1:37" x14ac:dyDescent="0.3">
      <c r="A12" s="27" t="s">
        <v>33</v>
      </c>
      <c r="B12" s="27" t="str">
        <f>BIN2HEX(
IF(ISBLANK(F12),0,F12)&amp;
IF(ISBLANK(G12),0,G12) &amp;
IF(ISBLANK(H12),0,H12)&amp;
IF(ISBLANK(I12),0,I12) &amp;
IF(ISBLANK(J12),0,J12) &amp;
IF(ISBLANK(K12),0,K12)&amp;
IF(ISBLANK(L12),0,L12)&amp;
IF(ISBLANK(M12),0,M12),2)&amp;
BIN2HEX(
IF(ISBLANK(N12),0,N12)&amp;
IF(ISBLANK(O12),0,O12) &amp;
IF(ISBLANK(P12),0,P12)&amp;
IF(ISBLANK(Q12),0,Q12) &amp;
IF(ISBLANK(R12),0,R12) &amp;
IF(ISBLANK(S12),0,S12)&amp;
IF(ISBLANK(T12),0,T12)&amp;
IF(ISBLANK(U12),0,U12),2)&amp;
BIN2HEX(
IF(ISBLANK(V12),0,V12) &amp;
IF(ISBLANK(W12),0,W12)&amp;
IF(ISBLANK(X12),0,X12) &amp;
IF(ISBLANK(Y12),0,Y12) &amp;
IF(ISBLANK(Z12),0,Z12)&amp;
IF(ISBLANK(AA12),0,AA12)&amp;
IF(ISBLANK(AB12),0,AB12)&amp;
IF(ISBLANK(AC12),0,AC12),2)&amp;
BIN2HEX(
IF(ISBLANK(AD12),0,AD12)&amp;
IF(ISBLANK(AE12),0,AE12)&amp;
IF(ISBLANK(AF12),0,AF12) &amp;
IF(ISBLANK(AG12),0,AG12)&amp;
IF(ISBLANK(AH12),0,AH12)&amp;
IF(ISBLANK(AI12),0,AI12) &amp;
IF(ISBLANK(AJ12),0,AJ12)&amp;
IF(ISBLANK(AK12),0,AK12),2)</f>
        <v>01000000</v>
      </c>
      <c r="C12" s="27" t="str">
        <f>BIN2HEX(
IF(ISBLANK(F12),0,F12) &amp;
IF(ISBLANK(G12),0,G12)&amp;
IF(ISBLANK(H12),0,H12)&amp;
IF(ISBLANK(I12),0,I12)&amp;
IF(ISBLANK(J12),0,J12)&amp;
IF(ISBLANK(K12),0,K12))</f>
        <v>0</v>
      </c>
      <c r="D12" s="27" t="str">
        <f>BIN2HEX(
IF(ISBLANK(L12),0,L12) &amp;
IF(ISBLANK(M12),0,M12)&amp;
IF(ISBLANK(N12),0,N12))</f>
        <v>2</v>
      </c>
      <c r="E12" s="28"/>
      <c r="F12" s="9">
        <v>0</v>
      </c>
      <c r="G12" s="27">
        <v>0</v>
      </c>
      <c r="H12" s="27">
        <v>0</v>
      </c>
      <c r="I12" s="33">
        <v>0</v>
      </c>
      <c r="J12" s="27">
        <v>0</v>
      </c>
      <c r="K12" s="10">
        <v>0</v>
      </c>
      <c r="L12" s="9">
        <v>0</v>
      </c>
      <c r="M12" s="27">
        <v>1</v>
      </c>
      <c r="N12" s="10">
        <v>0</v>
      </c>
      <c r="O12" s="35">
        <v>0</v>
      </c>
      <c r="P12" s="33">
        <v>0</v>
      </c>
      <c r="Q12" s="33">
        <v>0</v>
      </c>
      <c r="R12" s="33">
        <v>0</v>
      </c>
      <c r="S12" s="33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  <c r="AJ12" s="27">
        <v>0</v>
      </c>
      <c r="AK12" s="27">
        <v>0</v>
      </c>
    </row>
    <row r="13" spans="1:37" x14ac:dyDescent="0.3">
      <c r="A13" s="27" t="str">
        <f>DEC2HEX(HEX2DEC(LEFT(A12,LEN(A12)-1))+1)&amp;"h"</f>
        <v>1h</v>
      </c>
      <c r="B13" s="33" t="str">
        <f t="shared" ref="B13:B39" si="1">BIN2HEX(
IF(ISBLANK(F13),0,F13)&amp;
IF(ISBLANK(G13),0,G13) &amp;
IF(ISBLANK(H13),0,H13)&amp;
IF(ISBLANK(I13),0,I13) &amp;
IF(ISBLANK(J13),0,J13) &amp;
IF(ISBLANK(K13),0,K13)&amp;
IF(ISBLANK(L13),0,L13)&amp;
IF(ISBLANK(M13),0,M13),2)&amp;
BIN2HEX(
IF(ISBLANK(N13),0,N13)&amp;
IF(ISBLANK(O13),0,O13) &amp;
IF(ISBLANK(P13),0,P13)&amp;
IF(ISBLANK(Q13),0,Q13) &amp;
IF(ISBLANK(R13),0,R13) &amp;
IF(ISBLANK(S13),0,S13)&amp;
IF(ISBLANK(T13),0,T13)&amp;
IF(ISBLANK(U13),0,U13),2)&amp;
BIN2HEX(
IF(ISBLANK(V13),0,V13) &amp;
IF(ISBLANK(W13),0,W13)&amp;
IF(ISBLANK(X13),0,X13) &amp;
IF(ISBLANK(Y13),0,Y13) &amp;
IF(ISBLANK(Z13),0,Z13)&amp;
IF(ISBLANK(AA13),0,AA13)&amp;
IF(ISBLANK(AB13),0,AB13)&amp;
IF(ISBLANK(AC13),0,AC13),2)&amp;
BIN2HEX(
IF(ISBLANK(AD13),0,AD13)&amp;
IF(ISBLANK(AE13),0,AE13)&amp;
IF(ISBLANK(AF13),0,AF13) &amp;
IF(ISBLANK(AG13),0,AG13)&amp;
IF(ISBLANK(AH13),0,AH13)&amp;
IF(ISBLANK(AI13),0,AI13) &amp;
IF(ISBLANK(AJ13),0,AJ13)&amp;
IF(ISBLANK(AK13),0,AK13),2)</f>
        <v>6D800000</v>
      </c>
      <c r="C13" s="33" t="str">
        <f t="shared" ref="C13:C39" si="2">BIN2HEX(
IF(ISBLANK(F13),0,F13) &amp;
IF(ISBLANK(G13),0,G13)&amp;
IF(ISBLANK(H13),0,H13)&amp;
IF(ISBLANK(I13),0,I13)&amp;
IF(ISBLANK(J13),0,J13)&amp;
IF(ISBLANK(K13),0,K13))</f>
        <v>1B</v>
      </c>
      <c r="D13" s="27" t="str">
        <f t="shared" ref="D13:D37" si="3">BIN2HEX(
IF(ISBLANK(L13),0,L13) &amp;
IF(ISBLANK(M13),0,M13)&amp;
IF(ISBLANK(N13),0,N13))</f>
        <v>3</v>
      </c>
      <c r="E13" s="28"/>
      <c r="F13" s="9">
        <v>0</v>
      </c>
      <c r="G13" s="27">
        <v>1</v>
      </c>
      <c r="H13" s="27">
        <v>1</v>
      </c>
      <c r="I13" s="33">
        <v>0</v>
      </c>
      <c r="J13" s="27">
        <v>1</v>
      </c>
      <c r="K13" s="10">
        <v>1</v>
      </c>
      <c r="L13" s="9">
        <v>0</v>
      </c>
      <c r="M13" s="27">
        <v>1</v>
      </c>
      <c r="N13" s="10">
        <v>1</v>
      </c>
      <c r="O13" s="35">
        <v>0</v>
      </c>
      <c r="P13" s="33">
        <v>0</v>
      </c>
      <c r="Q13" s="33">
        <v>0</v>
      </c>
      <c r="R13" s="33">
        <v>0</v>
      </c>
      <c r="S13" s="33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7">
        <v>0</v>
      </c>
      <c r="AJ13" s="27">
        <v>0</v>
      </c>
      <c r="AK13" s="27">
        <v>0</v>
      </c>
    </row>
    <row r="14" spans="1:37" x14ac:dyDescent="0.3">
      <c r="A14" s="27" t="str">
        <f t="shared" ref="A14:A25" si="4">DEC2HEX(HEX2DEC(LEFT(A13,LEN(A13)-1))+1)&amp;"h"</f>
        <v>2h</v>
      </c>
      <c r="B14" s="33" t="str">
        <f t="shared" si="1"/>
        <v>00000001</v>
      </c>
      <c r="C14" s="33" t="str">
        <f t="shared" si="2"/>
        <v>0</v>
      </c>
      <c r="D14" s="27" t="str">
        <f t="shared" si="3"/>
        <v>0</v>
      </c>
      <c r="E14" s="28"/>
      <c r="F14" s="9">
        <v>0</v>
      </c>
      <c r="G14" s="27">
        <v>0</v>
      </c>
      <c r="H14" s="27">
        <v>0</v>
      </c>
      <c r="I14" s="33">
        <v>0</v>
      </c>
      <c r="J14" s="27">
        <v>0</v>
      </c>
      <c r="K14" s="10">
        <v>0</v>
      </c>
      <c r="L14" s="9">
        <v>0</v>
      </c>
      <c r="M14" s="27">
        <v>0</v>
      </c>
      <c r="N14" s="10">
        <v>0</v>
      </c>
      <c r="O14" s="35">
        <v>0</v>
      </c>
      <c r="P14" s="33">
        <v>0</v>
      </c>
      <c r="Q14" s="33">
        <v>0</v>
      </c>
      <c r="R14" s="33">
        <v>0</v>
      </c>
      <c r="S14" s="33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1</v>
      </c>
    </row>
    <row r="15" spans="1:37" x14ac:dyDescent="0.3">
      <c r="A15" s="27" t="str">
        <f t="shared" si="4"/>
        <v>3h</v>
      </c>
      <c r="B15" s="33" t="str">
        <f t="shared" si="1"/>
        <v>00000136</v>
      </c>
      <c r="C15" s="33" t="str">
        <f t="shared" si="2"/>
        <v>0</v>
      </c>
      <c r="D15" s="27" t="str">
        <f t="shared" si="3"/>
        <v>0</v>
      </c>
      <c r="E15" s="28"/>
      <c r="F15" s="9">
        <v>0</v>
      </c>
      <c r="G15" s="27">
        <v>0</v>
      </c>
      <c r="H15" s="27">
        <v>0</v>
      </c>
      <c r="I15" s="33">
        <v>0</v>
      </c>
      <c r="J15" s="27">
        <v>0</v>
      </c>
      <c r="K15" s="10">
        <v>0</v>
      </c>
      <c r="L15" s="9">
        <v>0</v>
      </c>
      <c r="M15" s="27">
        <v>0</v>
      </c>
      <c r="N15" s="10">
        <v>0</v>
      </c>
      <c r="O15" s="35">
        <v>0</v>
      </c>
      <c r="P15" s="33">
        <v>0</v>
      </c>
      <c r="Q15" s="33">
        <v>0</v>
      </c>
      <c r="R15" s="33">
        <v>0</v>
      </c>
      <c r="S15" s="33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1</v>
      </c>
      <c r="AD15" s="27">
        <v>0</v>
      </c>
      <c r="AE15" s="27">
        <v>0</v>
      </c>
      <c r="AF15" s="27">
        <v>1</v>
      </c>
      <c r="AG15" s="27">
        <v>1</v>
      </c>
      <c r="AH15" s="27">
        <v>0</v>
      </c>
      <c r="AI15" s="27">
        <v>1</v>
      </c>
      <c r="AJ15" s="27">
        <v>1</v>
      </c>
      <c r="AK15" s="27">
        <v>0</v>
      </c>
    </row>
    <row r="16" spans="1:37" x14ac:dyDescent="0.3">
      <c r="A16" s="27" t="str">
        <f t="shared" si="4"/>
        <v>4h</v>
      </c>
      <c r="B16" s="33" t="str">
        <f t="shared" si="1"/>
        <v>12000200</v>
      </c>
      <c r="C16" s="33" t="str">
        <f t="shared" si="2"/>
        <v>4</v>
      </c>
      <c r="D16" s="27" t="str">
        <f t="shared" si="3"/>
        <v>4</v>
      </c>
      <c r="E16" s="28"/>
      <c r="F16" s="9">
        <v>0</v>
      </c>
      <c r="G16" s="27">
        <v>0</v>
      </c>
      <c r="H16" s="27">
        <v>0</v>
      </c>
      <c r="I16" s="33">
        <v>1</v>
      </c>
      <c r="J16" s="27">
        <v>0</v>
      </c>
      <c r="K16" s="10">
        <v>0</v>
      </c>
      <c r="L16" s="9">
        <v>1</v>
      </c>
      <c r="M16" s="27">
        <v>0</v>
      </c>
      <c r="N16" s="10">
        <v>0</v>
      </c>
      <c r="O16" s="35">
        <v>0</v>
      </c>
      <c r="P16" s="33">
        <v>0</v>
      </c>
      <c r="Q16" s="33">
        <v>0</v>
      </c>
      <c r="R16" s="33">
        <v>0</v>
      </c>
      <c r="S16" s="33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1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</row>
    <row r="17" spans="1:37" x14ac:dyDescent="0.3">
      <c r="A17" s="27" t="str">
        <f t="shared" si="4"/>
        <v>5h</v>
      </c>
      <c r="B17" s="33" t="str">
        <f t="shared" si="1"/>
        <v>00000001</v>
      </c>
      <c r="C17" s="33" t="str">
        <f t="shared" si="2"/>
        <v>0</v>
      </c>
      <c r="D17" s="27" t="str">
        <f t="shared" si="3"/>
        <v>0</v>
      </c>
      <c r="E17" s="28"/>
      <c r="F17" s="9">
        <v>0</v>
      </c>
      <c r="G17" s="27">
        <v>0</v>
      </c>
      <c r="H17" s="27">
        <v>0</v>
      </c>
      <c r="I17" s="33">
        <v>0</v>
      </c>
      <c r="J17" s="27">
        <v>0</v>
      </c>
      <c r="K17" s="10">
        <v>0</v>
      </c>
      <c r="L17" s="9">
        <v>0</v>
      </c>
      <c r="M17" s="27">
        <v>0</v>
      </c>
      <c r="N17" s="10">
        <v>0</v>
      </c>
      <c r="O17" s="35">
        <v>0</v>
      </c>
      <c r="P17" s="33">
        <v>0</v>
      </c>
      <c r="Q17" s="33">
        <v>0</v>
      </c>
      <c r="R17" s="33">
        <v>0</v>
      </c>
      <c r="S17" s="33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0</v>
      </c>
      <c r="AJ17" s="27">
        <v>0</v>
      </c>
      <c r="AK17" s="27">
        <v>1</v>
      </c>
    </row>
    <row r="18" spans="1:37" x14ac:dyDescent="0.3">
      <c r="A18" s="27" t="str">
        <f t="shared" si="4"/>
        <v>6h</v>
      </c>
      <c r="B18" s="33" t="str">
        <f t="shared" si="1"/>
        <v>000001D6</v>
      </c>
      <c r="C18" s="33" t="str">
        <f t="shared" si="2"/>
        <v>0</v>
      </c>
      <c r="D18" s="27" t="str">
        <f t="shared" si="3"/>
        <v>0</v>
      </c>
      <c r="E18" s="28"/>
      <c r="F18" s="9">
        <v>0</v>
      </c>
      <c r="G18" s="27">
        <v>0</v>
      </c>
      <c r="H18" s="27">
        <v>0</v>
      </c>
      <c r="I18" s="33">
        <v>0</v>
      </c>
      <c r="J18" s="27">
        <v>0</v>
      </c>
      <c r="K18" s="10">
        <v>0</v>
      </c>
      <c r="L18" s="9">
        <v>0</v>
      </c>
      <c r="M18" s="27">
        <v>0</v>
      </c>
      <c r="N18" s="10">
        <v>0</v>
      </c>
      <c r="O18" s="35">
        <v>0</v>
      </c>
      <c r="P18" s="33">
        <v>0</v>
      </c>
      <c r="Q18" s="33">
        <v>0</v>
      </c>
      <c r="R18" s="33">
        <v>0</v>
      </c>
      <c r="S18" s="33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1</v>
      </c>
      <c r="AD18" s="27">
        <v>1</v>
      </c>
      <c r="AE18" s="27">
        <v>1</v>
      </c>
      <c r="AF18" s="27">
        <v>0</v>
      </c>
      <c r="AG18" s="27">
        <v>1</v>
      </c>
      <c r="AH18" s="27">
        <v>0</v>
      </c>
      <c r="AI18" s="27">
        <v>1</v>
      </c>
      <c r="AJ18" s="27">
        <v>1</v>
      </c>
      <c r="AK18" s="27">
        <v>0</v>
      </c>
    </row>
    <row r="19" spans="1:37" x14ac:dyDescent="0.3">
      <c r="A19" s="27" t="str">
        <f t="shared" si="4"/>
        <v>7h</v>
      </c>
      <c r="B19" s="33" t="str">
        <f t="shared" si="1"/>
        <v>1E000200</v>
      </c>
      <c r="C19" s="33" t="str">
        <f t="shared" si="2"/>
        <v>7</v>
      </c>
      <c r="D19" s="27" t="str">
        <f t="shared" si="3"/>
        <v>4</v>
      </c>
      <c r="E19" s="28"/>
      <c r="F19" s="9">
        <v>0</v>
      </c>
      <c r="G19" s="27">
        <v>0</v>
      </c>
      <c r="H19" s="27">
        <v>0</v>
      </c>
      <c r="I19" s="33">
        <v>1</v>
      </c>
      <c r="J19" s="27">
        <v>1</v>
      </c>
      <c r="K19" s="10">
        <v>1</v>
      </c>
      <c r="L19" s="9">
        <v>1</v>
      </c>
      <c r="M19" s="27">
        <v>0</v>
      </c>
      <c r="N19" s="10">
        <v>0</v>
      </c>
      <c r="O19" s="35">
        <v>0</v>
      </c>
      <c r="P19" s="33">
        <v>0</v>
      </c>
      <c r="Q19" s="33">
        <v>0</v>
      </c>
      <c r="R19" s="33">
        <v>0</v>
      </c>
      <c r="S19" s="33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1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</row>
    <row r="20" spans="1:37" x14ac:dyDescent="0.3">
      <c r="A20" s="27" t="str">
        <f t="shared" si="4"/>
        <v>8h</v>
      </c>
      <c r="B20" s="33" t="str">
        <f t="shared" si="1"/>
        <v>00000001</v>
      </c>
      <c r="C20" s="33" t="str">
        <f t="shared" si="2"/>
        <v>0</v>
      </c>
      <c r="D20" s="27" t="str">
        <f t="shared" si="3"/>
        <v>0</v>
      </c>
      <c r="E20" s="28"/>
      <c r="F20" s="9">
        <v>0</v>
      </c>
      <c r="G20" s="27">
        <v>0</v>
      </c>
      <c r="H20" s="27">
        <v>0</v>
      </c>
      <c r="I20" s="33">
        <v>0</v>
      </c>
      <c r="J20" s="27">
        <v>0</v>
      </c>
      <c r="K20" s="10">
        <v>0</v>
      </c>
      <c r="L20" s="9">
        <v>0</v>
      </c>
      <c r="M20" s="27">
        <v>0</v>
      </c>
      <c r="N20" s="10">
        <v>0</v>
      </c>
      <c r="O20" s="35">
        <v>0</v>
      </c>
      <c r="P20" s="33">
        <v>0</v>
      </c>
      <c r="Q20" s="33">
        <v>0</v>
      </c>
      <c r="R20" s="33">
        <v>0</v>
      </c>
      <c r="S20" s="33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0</v>
      </c>
      <c r="AJ20" s="27">
        <v>0</v>
      </c>
      <c r="AK20" s="27">
        <v>1</v>
      </c>
    </row>
    <row r="21" spans="1:37" x14ac:dyDescent="0.3">
      <c r="A21" s="27" t="str">
        <f t="shared" si="4"/>
        <v>9h</v>
      </c>
      <c r="B21" s="33" t="str">
        <f t="shared" si="1"/>
        <v>00000196</v>
      </c>
      <c r="C21" s="33" t="str">
        <f t="shared" si="2"/>
        <v>0</v>
      </c>
      <c r="D21" s="27" t="str">
        <f t="shared" si="3"/>
        <v>0</v>
      </c>
      <c r="E21" s="28"/>
      <c r="F21" s="9">
        <v>0</v>
      </c>
      <c r="G21" s="27">
        <v>0</v>
      </c>
      <c r="H21" s="27">
        <v>0</v>
      </c>
      <c r="I21" s="33">
        <v>0</v>
      </c>
      <c r="J21" s="27">
        <v>0</v>
      </c>
      <c r="K21" s="10">
        <v>0</v>
      </c>
      <c r="L21" s="9">
        <v>0</v>
      </c>
      <c r="M21" s="27">
        <v>0</v>
      </c>
      <c r="N21" s="10">
        <v>0</v>
      </c>
      <c r="O21" s="35">
        <v>0</v>
      </c>
      <c r="P21" s="33">
        <v>0</v>
      </c>
      <c r="Q21" s="33">
        <v>0</v>
      </c>
      <c r="R21" s="33">
        <v>0</v>
      </c>
      <c r="S21" s="33">
        <v>0</v>
      </c>
      <c r="T21" s="27">
        <v>0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7">
        <v>1</v>
      </c>
      <c r="AD21" s="27">
        <v>1</v>
      </c>
      <c r="AE21" s="27">
        <v>0</v>
      </c>
      <c r="AF21" s="27">
        <v>0</v>
      </c>
      <c r="AG21" s="27">
        <v>1</v>
      </c>
      <c r="AH21" s="27">
        <v>0</v>
      </c>
      <c r="AI21" s="27">
        <v>1</v>
      </c>
      <c r="AJ21" s="27">
        <v>1</v>
      </c>
      <c r="AK21" s="27">
        <v>0</v>
      </c>
    </row>
    <row r="22" spans="1:37" x14ac:dyDescent="0.3">
      <c r="A22" s="27" t="str">
        <f t="shared" si="4"/>
        <v>Ah</v>
      </c>
      <c r="B22" s="33" t="str">
        <f t="shared" si="1"/>
        <v>2A000200</v>
      </c>
      <c r="C22" s="33" t="str">
        <f t="shared" si="2"/>
        <v>A</v>
      </c>
      <c r="D22" s="27" t="str">
        <f t="shared" si="3"/>
        <v>4</v>
      </c>
      <c r="E22" s="28"/>
      <c r="F22" s="9">
        <v>0</v>
      </c>
      <c r="G22" s="27">
        <v>0</v>
      </c>
      <c r="H22" s="27">
        <v>1</v>
      </c>
      <c r="I22" s="33">
        <v>0</v>
      </c>
      <c r="J22" s="27">
        <v>1</v>
      </c>
      <c r="K22" s="10">
        <v>0</v>
      </c>
      <c r="L22" s="9">
        <v>1</v>
      </c>
      <c r="M22" s="27">
        <v>0</v>
      </c>
      <c r="N22" s="10">
        <v>0</v>
      </c>
      <c r="O22" s="35">
        <v>0</v>
      </c>
      <c r="P22" s="33">
        <v>0</v>
      </c>
      <c r="Q22" s="33">
        <v>0</v>
      </c>
      <c r="R22" s="33">
        <v>0</v>
      </c>
      <c r="S22" s="33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1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</row>
    <row r="23" spans="1:37" x14ac:dyDescent="0.3">
      <c r="A23" s="27" t="str">
        <f t="shared" si="4"/>
        <v>Bh</v>
      </c>
      <c r="B23" s="33" t="str">
        <f t="shared" si="1"/>
        <v>00000001</v>
      </c>
      <c r="C23" s="33" t="str">
        <f t="shared" si="2"/>
        <v>0</v>
      </c>
      <c r="D23" s="27" t="str">
        <f t="shared" si="3"/>
        <v>0</v>
      </c>
      <c r="E23" s="28"/>
      <c r="F23" s="9">
        <v>0</v>
      </c>
      <c r="G23" s="27">
        <v>0</v>
      </c>
      <c r="H23" s="27">
        <v>0</v>
      </c>
      <c r="I23" s="33">
        <v>0</v>
      </c>
      <c r="J23" s="27">
        <v>0</v>
      </c>
      <c r="K23" s="10">
        <v>0</v>
      </c>
      <c r="L23" s="9">
        <v>0</v>
      </c>
      <c r="M23" s="27">
        <v>0</v>
      </c>
      <c r="N23" s="10">
        <v>0</v>
      </c>
      <c r="O23" s="35">
        <v>0</v>
      </c>
      <c r="P23" s="33">
        <v>0</v>
      </c>
      <c r="Q23" s="33">
        <v>0</v>
      </c>
      <c r="R23" s="33">
        <v>0</v>
      </c>
      <c r="S23" s="33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1</v>
      </c>
    </row>
    <row r="24" spans="1:37" x14ac:dyDescent="0.3">
      <c r="A24" s="27" t="str">
        <f t="shared" si="4"/>
        <v>Ch</v>
      </c>
      <c r="B24" s="33" t="str">
        <f t="shared" si="1"/>
        <v>00000156</v>
      </c>
      <c r="C24" s="33" t="str">
        <f t="shared" si="2"/>
        <v>0</v>
      </c>
      <c r="D24" s="27" t="str">
        <f t="shared" si="3"/>
        <v>0</v>
      </c>
      <c r="E24" s="28"/>
      <c r="F24" s="9">
        <v>0</v>
      </c>
      <c r="G24" s="27">
        <v>0</v>
      </c>
      <c r="H24" s="27">
        <v>0</v>
      </c>
      <c r="I24" s="33">
        <v>0</v>
      </c>
      <c r="J24" s="27">
        <v>0</v>
      </c>
      <c r="K24" s="10">
        <v>0</v>
      </c>
      <c r="L24" s="9">
        <v>0</v>
      </c>
      <c r="M24" s="27">
        <v>0</v>
      </c>
      <c r="N24" s="10">
        <v>0</v>
      </c>
      <c r="O24" s="35">
        <v>0</v>
      </c>
      <c r="P24" s="33">
        <v>0</v>
      </c>
      <c r="Q24" s="33">
        <v>0</v>
      </c>
      <c r="R24" s="33">
        <v>0</v>
      </c>
      <c r="S24" s="33">
        <v>0</v>
      </c>
      <c r="T24" s="27">
        <v>0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1</v>
      </c>
      <c r="AD24" s="27">
        <v>0</v>
      </c>
      <c r="AE24" s="27">
        <v>1</v>
      </c>
      <c r="AF24" s="27">
        <v>0</v>
      </c>
      <c r="AG24" s="27">
        <v>1</v>
      </c>
      <c r="AH24" s="27">
        <v>0</v>
      </c>
      <c r="AI24" s="27">
        <v>1</v>
      </c>
      <c r="AJ24" s="27">
        <v>1</v>
      </c>
      <c r="AK24" s="27">
        <v>0</v>
      </c>
    </row>
    <row r="25" spans="1:37" x14ac:dyDescent="0.3">
      <c r="A25" s="27" t="str">
        <f t="shared" si="4"/>
        <v>Dh</v>
      </c>
      <c r="B25" s="33" t="str">
        <f t="shared" si="1"/>
        <v>36000200</v>
      </c>
      <c r="C25" s="33" t="str">
        <f t="shared" si="2"/>
        <v>D</v>
      </c>
      <c r="D25" s="27" t="str">
        <f t="shared" si="3"/>
        <v>4</v>
      </c>
      <c r="E25" s="28"/>
      <c r="F25" s="9">
        <v>0</v>
      </c>
      <c r="G25" s="27">
        <v>0</v>
      </c>
      <c r="H25" s="27">
        <v>1</v>
      </c>
      <c r="I25" s="33">
        <v>1</v>
      </c>
      <c r="J25" s="27">
        <v>0</v>
      </c>
      <c r="K25" s="10">
        <v>1</v>
      </c>
      <c r="L25" s="9">
        <v>1</v>
      </c>
      <c r="M25" s="27">
        <v>0</v>
      </c>
      <c r="N25" s="10">
        <v>0</v>
      </c>
      <c r="O25" s="35">
        <v>0</v>
      </c>
      <c r="P25" s="33">
        <v>0</v>
      </c>
      <c r="Q25" s="33">
        <v>0</v>
      </c>
      <c r="R25" s="33">
        <v>0</v>
      </c>
      <c r="S25" s="33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1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0</v>
      </c>
      <c r="AK25" s="27">
        <v>0</v>
      </c>
    </row>
    <row r="26" spans="1:37" x14ac:dyDescent="0.3">
      <c r="A26" s="27" t="str">
        <f>DEC2HEX(HEX2DEC(LEFT(A25,LEN(A25)-1))+1)&amp;"h"</f>
        <v>Eh</v>
      </c>
      <c r="B26" s="33" t="str">
        <f t="shared" si="1"/>
        <v>00000001</v>
      </c>
      <c r="C26" s="33" t="str">
        <f t="shared" si="2"/>
        <v>0</v>
      </c>
      <c r="D26" s="27" t="str">
        <f t="shared" si="3"/>
        <v>0</v>
      </c>
      <c r="E26" s="28"/>
      <c r="F26" s="9">
        <v>0</v>
      </c>
      <c r="G26" s="27">
        <v>0</v>
      </c>
      <c r="H26" s="27">
        <v>0</v>
      </c>
      <c r="I26" s="33">
        <v>0</v>
      </c>
      <c r="J26" s="27">
        <v>0</v>
      </c>
      <c r="K26" s="10">
        <v>0</v>
      </c>
      <c r="L26" s="9">
        <v>0</v>
      </c>
      <c r="M26" s="27">
        <v>0</v>
      </c>
      <c r="N26" s="10">
        <v>0</v>
      </c>
      <c r="O26" s="35">
        <v>0</v>
      </c>
      <c r="P26" s="33">
        <v>0</v>
      </c>
      <c r="Q26" s="33">
        <v>0</v>
      </c>
      <c r="R26" s="33">
        <v>0</v>
      </c>
      <c r="S26" s="33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0</v>
      </c>
      <c r="AK26" s="27">
        <v>1</v>
      </c>
    </row>
    <row r="27" spans="1:37" x14ac:dyDescent="0.3">
      <c r="A27" s="27" t="str">
        <f>DEC2HEX(HEX2DEC(LEFT(A26,LEN(A26)-1))+1)&amp;"h"</f>
        <v>Fh</v>
      </c>
      <c r="B27" s="33" t="str">
        <f t="shared" si="1"/>
        <v>00000176</v>
      </c>
      <c r="C27" s="33" t="str">
        <f t="shared" si="2"/>
        <v>0</v>
      </c>
      <c r="D27" s="27" t="str">
        <f t="shared" si="3"/>
        <v>0</v>
      </c>
      <c r="E27" s="28"/>
      <c r="F27" s="9">
        <v>0</v>
      </c>
      <c r="G27" s="27">
        <v>0</v>
      </c>
      <c r="H27" s="27">
        <v>0</v>
      </c>
      <c r="I27" s="33">
        <v>0</v>
      </c>
      <c r="J27" s="27">
        <v>0</v>
      </c>
      <c r="K27" s="10">
        <v>0</v>
      </c>
      <c r="L27" s="9">
        <v>0</v>
      </c>
      <c r="M27" s="27">
        <v>0</v>
      </c>
      <c r="N27" s="10">
        <v>0</v>
      </c>
      <c r="O27" s="35">
        <v>0</v>
      </c>
      <c r="P27" s="33">
        <v>0</v>
      </c>
      <c r="Q27" s="33">
        <v>0</v>
      </c>
      <c r="R27" s="33">
        <v>0</v>
      </c>
      <c r="S27" s="33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1</v>
      </c>
      <c r="AD27" s="27">
        <v>0</v>
      </c>
      <c r="AE27" s="27">
        <v>1</v>
      </c>
      <c r="AF27" s="27">
        <v>1</v>
      </c>
      <c r="AG27" s="27">
        <v>1</v>
      </c>
      <c r="AH27" s="27">
        <v>0</v>
      </c>
      <c r="AI27" s="27">
        <v>1</v>
      </c>
      <c r="AJ27" s="27">
        <v>1</v>
      </c>
      <c r="AK27" s="27">
        <v>0</v>
      </c>
    </row>
    <row r="28" spans="1:37" x14ac:dyDescent="0.3">
      <c r="A28" s="27" t="str">
        <f t="shared" ref="A28:A39" si="5">DEC2HEX(HEX2DEC(LEFT(A27,LEN(A27)-1))+1)&amp;"h"</f>
        <v>10h</v>
      </c>
      <c r="B28" s="33" t="str">
        <f t="shared" si="1"/>
        <v>42000200</v>
      </c>
      <c r="C28" s="33" t="str">
        <f t="shared" si="2"/>
        <v>10</v>
      </c>
      <c r="D28" s="27" t="str">
        <f t="shared" si="3"/>
        <v>4</v>
      </c>
      <c r="E28" s="28"/>
      <c r="F28" s="9">
        <v>0</v>
      </c>
      <c r="G28" s="27">
        <v>1</v>
      </c>
      <c r="H28" s="27">
        <v>0</v>
      </c>
      <c r="I28" s="33">
        <v>0</v>
      </c>
      <c r="J28" s="27">
        <v>0</v>
      </c>
      <c r="K28" s="10">
        <v>0</v>
      </c>
      <c r="L28" s="9">
        <v>1</v>
      </c>
      <c r="M28" s="27">
        <v>0</v>
      </c>
      <c r="N28" s="10">
        <v>0</v>
      </c>
      <c r="O28" s="35">
        <v>0</v>
      </c>
      <c r="P28" s="33">
        <v>0</v>
      </c>
      <c r="Q28" s="33">
        <v>0</v>
      </c>
      <c r="R28" s="33">
        <v>0</v>
      </c>
      <c r="S28" s="33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1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  <c r="AJ28" s="27">
        <v>0</v>
      </c>
      <c r="AK28" s="27">
        <v>0</v>
      </c>
    </row>
    <row r="29" spans="1:37" x14ac:dyDescent="0.3">
      <c r="A29" s="27" t="str">
        <f t="shared" si="5"/>
        <v>11h</v>
      </c>
      <c r="B29" s="33" t="str">
        <f t="shared" si="1"/>
        <v>00000001</v>
      </c>
      <c r="C29" s="33" t="str">
        <f t="shared" si="2"/>
        <v>0</v>
      </c>
      <c r="D29" s="27" t="str">
        <f t="shared" si="3"/>
        <v>0</v>
      </c>
      <c r="E29" s="28"/>
      <c r="F29" s="9">
        <v>0</v>
      </c>
      <c r="G29" s="27">
        <v>0</v>
      </c>
      <c r="H29" s="27">
        <v>0</v>
      </c>
      <c r="I29" s="33">
        <v>0</v>
      </c>
      <c r="J29" s="27">
        <v>0</v>
      </c>
      <c r="K29" s="10">
        <v>0</v>
      </c>
      <c r="L29" s="9">
        <v>0</v>
      </c>
      <c r="M29" s="27">
        <v>0</v>
      </c>
      <c r="N29" s="10">
        <v>0</v>
      </c>
      <c r="O29" s="35">
        <v>0</v>
      </c>
      <c r="P29" s="33">
        <v>0</v>
      </c>
      <c r="Q29" s="33">
        <v>0</v>
      </c>
      <c r="R29" s="33">
        <v>0</v>
      </c>
      <c r="S29" s="33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  <c r="AJ29" s="27">
        <v>0</v>
      </c>
      <c r="AK29" s="27">
        <v>1</v>
      </c>
    </row>
    <row r="30" spans="1:37" x14ac:dyDescent="0.3">
      <c r="A30" s="27" t="str">
        <f t="shared" si="5"/>
        <v>12h</v>
      </c>
      <c r="B30" s="33" t="str">
        <f t="shared" si="1"/>
        <v>000001B6</v>
      </c>
      <c r="C30" s="33" t="str">
        <f t="shared" si="2"/>
        <v>0</v>
      </c>
      <c r="D30" s="27" t="str">
        <f t="shared" si="3"/>
        <v>0</v>
      </c>
      <c r="E30" s="28"/>
      <c r="F30" s="9">
        <v>0</v>
      </c>
      <c r="G30" s="27">
        <v>0</v>
      </c>
      <c r="H30" s="27">
        <v>0</v>
      </c>
      <c r="I30" s="33">
        <v>0</v>
      </c>
      <c r="J30" s="27">
        <v>0</v>
      </c>
      <c r="K30" s="10">
        <v>0</v>
      </c>
      <c r="L30" s="9">
        <v>0</v>
      </c>
      <c r="M30" s="27">
        <v>0</v>
      </c>
      <c r="N30" s="10">
        <v>0</v>
      </c>
      <c r="O30" s="35">
        <v>0</v>
      </c>
      <c r="P30" s="33">
        <v>0</v>
      </c>
      <c r="Q30" s="33">
        <v>0</v>
      </c>
      <c r="R30" s="33">
        <v>0</v>
      </c>
      <c r="S30" s="33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1</v>
      </c>
      <c r="AD30" s="27">
        <v>1</v>
      </c>
      <c r="AE30" s="27">
        <v>0</v>
      </c>
      <c r="AF30" s="27">
        <v>1</v>
      </c>
      <c r="AG30" s="27">
        <v>1</v>
      </c>
      <c r="AH30" s="27">
        <v>0</v>
      </c>
      <c r="AI30" s="27">
        <v>1</v>
      </c>
      <c r="AJ30" s="27">
        <v>1</v>
      </c>
      <c r="AK30" s="27">
        <v>0</v>
      </c>
    </row>
    <row r="31" spans="1:37" x14ac:dyDescent="0.3">
      <c r="A31" s="27" t="str">
        <f t="shared" si="5"/>
        <v>13h</v>
      </c>
      <c r="B31" s="33" t="str">
        <f t="shared" si="1"/>
        <v>4E000200</v>
      </c>
      <c r="C31" s="33" t="str">
        <f t="shared" si="2"/>
        <v>13</v>
      </c>
      <c r="D31" s="27" t="str">
        <f t="shared" si="3"/>
        <v>4</v>
      </c>
      <c r="E31" s="28"/>
      <c r="F31" s="9">
        <v>0</v>
      </c>
      <c r="G31" s="27">
        <v>1</v>
      </c>
      <c r="H31" s="27">
        <v>0</v>
      </c>
      <c r="I31" s="33">
        <v>0</v>
      </c>
      <c r="J31" s="27">
        <v>1</v>
      </c>
      <c r="K31" s="10">
        <v>1</v>
      </c>
      <c r="L31" s="9">
        <v>1</v>
      </c>
      <c r="M31" s="27">
        <v>0</v>
      </c>
      <c r="N31" s="10">
        <v>0</v>
      </c>
      <c r="O31" s="35">
        <v>0</v>
      </c>
      <c r="P31" s="33">
        <v>0</v>
      </c>
      <c r="Q31" s="33">
        <v>0</v>
      </c>
      <c r="R31" s="33">
        <v>0</v>
      </c>
      <c r="S31" s="33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1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0</v>
      </c>
      <c r="AK31" s="27">
        <v>0</v>
      </c>
    </row>
    <row r="32" spans="1:37" x14ac:dyDescent="0.3">
      <c r="A32" s="27" t="str">
        <f t="shared" si="5"/>
        <v>14h</v>
      </c>
      <c r="B32" s="33" t="str">
        <f t="shared" si="1"/>
        <v>00000800</v>
      </c>
      <c r="C32" s="33" t="str">
        <f t="shared" si="2"/>
        <v>0</v>
      </c>
      <c r="D32" s="27" t="str">
        <f t="shared" si="3"/>
        <v>0</v>
      </c>
      <c r="E32" s="28"/>
      <c r="F32" s="9">
        <v>0</v>
      </c>
      <c r="G32" s="27">
        <v>0</v>
      </c>
      <c r="H32" s="27">
        <v>0</v>
      </c>
      <c r="I32" s="33">
        <v>0</v>
      </c>
      <c r="J32" s="27">
        <v>0</v>
      </c>
      <c r="K32" s="10">
        <v>0</v>
      </c>
      <c r="L32" s="9">
        <v>0</v>
      </c>
      <c r="M32" s="27">
        <v>0</v>
      </c>
      <c r="N32" s="10">
        <v>0</v>
      </c>
      <c r="O32" s="35">
        <v>0</v>
      </c>
      <c r="P32" s="33">
        <v>0</v>
      </c>
      <c r="Q32" s="33">
        <v>0</v>
      </c>
      <c r="R32" s="33">
        <v>0</v>
      </c>
      <c r="S32" s="33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1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</row>
    <row r="33" spans="1:37" x14ac:dyDescent="0.3">
      <c r="A33" s="27" t="str">
        <f t="shared" si="5"/>
        <v>15h</v>
      </c>
      <c r="B33" s="33" t="str">
        <f t="shared" si="1"/>
        <v>0000001E</v>
      </c>
      <c r="C33" s="33" t="str">
        <f t="shared" si="2"/>
        <v>0</v>
      </c>
      <c r="D33" s="27" t="str">
        <f t="shared" si="3"/>
        <v>0</v>
      </c>
      <c r="E33" s="28"/>
      <c r="F33" s="9">
        <v>0</v>
      </c>
      <c r="G33" s="27">
        <v>0</v>
      </c>
      <c r="H33" s="27">
        <v>0</v>
      </c>
      <c r="I33" s="33">
        <v>0</v>
      </c>
      <c r="J33" s="27">
        <v>0</v>
      </c>
      <c r="K33" s="10">
        <v>0</v>
      </c>
      <c r="L33" s="9">
        <v>0</v>
      </c>
      <c r="M33" s="27">
        <v>0</v>
      </c>
      <c r="N33" s="10">
        <v>0</v>
      </c>
      <c r="O33" s="35">
        <v>0</v>
      </c>
      <c r="P33" s="33">
        <v>0</v>
      </c>
      <c r="Q33" s="33">
        <v>0</v>
      </c>
      <c r="R33" s="33">
        <v>0</v>
      </c>
      <c r="S33" s="33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1</v>
      </c>
      <c r="AH33" s="27">
        <v>1</v>
      </c>
      <c r="AI33" s="27">
        <v>1</v>
      </c>
      <c r="AJ33" s="27">
        <v>1</v>
      </c>
      <c r="AK33" s="27">
        <v>0</v>
      </c>
    </row>
    <row r="34" spans="1:37" x14ac:dyDescent="0.3">
      <c r="A34" s="27" t="str">
        <f t="shared" si="5"/>
        <v>16h</v>
      </c>
      <c r="B34" s="33" t="str">
        <f t="shared" si="1"/>
        <v>5A000500</v>
      </c>
      <c r="C34" s="33" t="str">
        <f t="shared" si="2"/>
        <v>16</v>
      </c>
      <c r="D34" s="27" t="str">
        <f t="shared" si="3"/>
        <v>4</v>
      </c>
      <c r="E34" s="28"/>
      <c r="F34" s="9">
        <v>0</v>
      </c>
      <c r="G34" s="27">
        <v>1</v>
      </c>
      <c r="H34" s="27">
        <v>0</v>
      </c>
      <c r="I34" s="33">
        <v>1</v>
      </c>
      <c r="J34" s="27">
        <v>1</v>
      </c>
      <c r="K34" s="10">
        <v>0</v>
      </c>
      <c r="L34" s="9">
        <v>1</v>
      </c>
      <c r="M34" s="27">
        <v>0</v>
      </c>
      <c r="N34" s="10">
        <v>0</v>
      </c>
      <c r="O34" s="35">
        <v>0</v>
      </c>
      <c r="P34" s="33">
        <v>0</v>
      </c>
      <c r="Q34" s="33">
        <v>0</v>
      </c>
      <c r="R34" s="33">
        <v>0</v>
      </c>
      <c r="S34" s="33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1</v>
      </c>
      <c r="AB34" s="27">
        <v>0</v>
      </c>
      <c r="AC34" s="27">
        <v>1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</row>
    <row r="35" spans="1:37" x14ac:dyDescent="0.3">
      <c r="A35" s="27" t="str">
        <f t="shared" si="5"/>
        <v>17h</v>
      </c>
      <c r="B35" s="33" t="str">
        <f t="shared" si="1"/>
        <v>00003000</v>
      </c>
      <c r="C35" s="33" t="str">
        <f t="shared" si="2"/>
        <v>0</v>
      </c>
      <c r="D35" s="27" t="str">
        <f t="shared" si="3"/>
        <v>0</v>
      </c>
      <c r="E35" s="28"/>
      <c r="F35" s="9">
        <v>0</v>
      </c>
      <c r="G35" s="27">
        <v>0</v>
      </c>
      <c r="H35" s="27">
        <v>0</v>
      </c>
      <c r="I35" s="33">
        <v>0</v>
      </c>
      <c r="J35" s="27">
        <v>0</v>
      </c>
      <c r="K35" s="10">
        <v>0</v>
      </c>
      <c r="L35" s="9">
        <v>0</v>
      </c>
      <c r="M35" s="27">
        <v>0</v>
      </c>
      <c r="N35" s="10">
        <v>0</v>
      </c>
      <c r="O35" s="35">
        <v>0</v>
      </c>
      <c r="P35" s="33">
        <v>0</v>
      </c>
      <c r="Q35" s="33">
        <v>0</v>
      </c>
      <c r="R35" s="33">
        <v>0</v>
      </c>
      <c r="S35" s="33">
        <v>0</v>
      </c>
      <c r="T35" s="27">
        <v>0</v>
      </c>
      <c r="U35" s="27">
        <v>0</v>
      </c>
      <c r="V35" s="27">
        <v>0</v>
      </c>
      <c r="W35" s="27">
        <v>0</v>
      </c>
      <c r="X35" s="27">
        <v>1</v>
      </c>
      <c r="Y35" s="27">
        <v>1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  <c r="AJ35" s="27">
        <v>0</v>
      </c>
      <c r="AK35" s="27">
        <v>0</v>
      </c>
    </row>
    <row r="36" spans="1:37" x14ac:dyDescent="0.3">
      <c r="A36" s="27" t="str">
        <f t="shared" si="5"/>
        <v>18h</v>
      </c>
      <c r="B36" s="33" t="str">
        <f t="shared" si="1"/>
        <v>62000500</v>
      </c>
      <c r="C36" s="33" t="str">
        <f t="shared" si="2"/>
        <v>18</v>
      </c>
      <c r="D36" s="27" t="str">
        <f t="shared" si="3"/>
        <v>4</v>
      </c>
      <c r="E36" s="28"/>
      <c r="F36" s="9">
        <v>0</v>
      </c>
      <c r="G36" s="27">
        <v>1</v>
      </c>
      <c r="H36" s="27">
        <v>1</v>
      </c>
      <c r="I36" s="33">
        <v>0</v>
      </c>
      <c r="J36" s="27">
        <v>0</v>
      </c>
      <c r="K36" s="10">
        <v>0</v>
      </c>
      <c r="L36" s="9">
        <v>1</v>
      </c>
      <c r="M36" s="27">
        <v>0</v>
      </c>
      <c r="N36" s="10">
        <v>0</v>
      </c>
      <c r="O36" s="35">
        <v>0</v>
      </c>
      <c r="P36" s="33">
        <v>0</v>
      </c>
      <c r="Q36" s="33">
        <v>0</v>
      </c>
      <c r="R36" s="33">
        <v>0</v>
      </c>
      <c r="S36" s="33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1</v>
      </c>
      <c r="AB36" s="27">
        <v>0</v>
      </c>
      <c r="AC36" s="27">
        <v>1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</row>
    <row r="37" spans="1:37" x14ac:dyDescent="0.3">
      <c r="A37" s="27" t="str">
        <f t="shared" si="5"/>
        <v>19h</v>
      </c>
      <c r="B37" s="33" t="str">
        <f t="shared" si="1"/>
        <v>00004000</v>
      </c>
      <c r="C37" s="33" t="str">
        <f t="shared" si="2"/>
        <v>0</v>
      </c>
      <c r="D37" s="27" t="str">
        <f t="shared" si="3"/>
        <v>0</v>
      </c>
      <c r="E37" s="28"/>
      <c r="F37" s="9">
        <v>0</v>
      </c>
      <c r="G37" s="27">
        <v>0</v>
      </c>
      <c r="H37" s="27">
        <v>0</v>
      </c>
      <c r="I37" s="33">
        <v>0</v>
      </c>
      <c r="J37" s="27">
        <v>0</v>
      </c>
      <c r="K37" s="10">
        <v>0</v>
      </c>
      <c r="L37" s="9">
        <v>0</v>
      </c>
      <c r="M37" s="27">
        <v>0</v>
      </c>
      <c r="N37" s="10">
        <v>0</v>
      </c>
      <c r="O37" s="35">
        <v>0</v>
      </c>
      <c r="P37" s="33">
        <v>0</v>
      </c>
      <c r="Q37" s="33">
        <v>0</v>
      </c>
      <c r="R37" s="33">
        <v>0</v>
      </c>
      <c r="S37" s="33">
        <v>0</v>
      </c>
      <c r="T37" s="27">
        <v>0</v>
      </c>
      <c r="U37" s="27">
        <v>0</v>
      </c>
      <c r="V37" s="27">
        <v>0</v>
      </c>
      <c r="W37" s="27">
        <v>1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</row>
    <row r="38" spans="1:37" x14ac:dyDescent="0.3">
      <c r="A38" s="27" t="str">
        <f t="shared" si="5"/>
        <v>1Ah</v>
      </c>
      <c r="B38" s="33" t="str">
        <f t="shared" si="1"/>
        <v>00018000</v>
      </c>
      <c r="C38" s="33" t="str">
        <f t="shared" si="2"/>
        <v>0</v>
      </c>
      <c r="D38" s="27" t="str">
        <f t="shared" ref="D38:D39" si="6">BIN2HEX(
IF(ISBLANK(L38),0,L38) &amp;
IF(ISBLANK(M38),0,M38)&amp;
IF(ISBLANK(N38),0,N38))</f>
        <v>0</v>
      </c>
      <c r="E38" s="28"/>
      <c r="F38" s="9">
        <v>0</v>
      </c>
      <c r="G38" s="27">
        <v>0</v>
      </c>
      <c r="H38" s="27">
        <v>0</v>
      </c>
      <c r="I38" s="33">
        <v>0</v>
      </c>
      <c r="J38" s="27">
        <v>0</v>
      </c>
      <c r="K38" s="10">
        <v>0</v>
      </c>
      <c r="L38" s="9">
        <v>0</v>
      </c>
      <c r="M38" s="27">
        <v>0</v>
      </c>
      <c r="N38" s="10">
        <v>0</v>
      </c>
      <c r="O38" s="35">
        <v>0</v>
      </c>
      <c r="P38" s="33">
        <v>0</v>
      </c>
      <c r="Q38" s="33">
        <v>0</v>
      </c>
      <c r="R38" s="33">
        <v>0</v>
      </c>
      <c r="S38" s="33">
        <v>0</v>
      </c>
      <c r="T38" s="27">
        <v>0</v>
      </c>
      <c r="U38" s="27">
        <v>1</v>
      </c>
      <c r="V38" s="27">
        <v>1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0</v>
      </c>
      <c r="AJ38" s="27">
        <v>0</v>
      </c>
      <c r="AK38" s="27">
        <v>0</v>
      </c>
    </row>
    <row r="39" spans="1:37" x14ac:dyDescent="0.3">
      <c r="A39" s="27" t="str">
        <f t="shared" si="5"/>
        <v>1Bh</v>
      </c>
      <c r="B39" s="33" t="str">
        <f t="shared" si="1"/>
        <v>00860000</v>
      </c>
      <c r="C39" s="33" t="str">
        <f t="shared" si="2"/>
        <v>0</v>
      </c>
      <c r="D39" s="27" t="str">
        <f t="shared" si="6"/>
        <v>1</v>
      </c>
      <c r="E39" s="28"/>
      <c r="F39" s="9">
        <v>0</v>
      </c>
      <c r="G39" s="27">
        <v>0</v>
      </c>
      <c r="H39" s="27">
        <v>0</v>
      </c>
      <c r="I39" s="33">
        <v>0</v>
      </c>
      <c r="J39" s="27">
        <v>0</v>
      </c>
      <c r="K39" s="10">
        <v>0</v>
      </c>
      <c r="L39" s="9">
        <v>0</v>
      </c>
      <c r="M39" s="27">
        <v>0</v>
      </c>
      <c r="N39" s="10">
        <v>1</v>
      </c>
      <c r="O39" s="35">
        <v>0</v>
      </c>
      <c r="P39" s="33">
        <v>0</v>
      </c>
      <c r="Q39" s="33">
        <v>0</v>
      </c>
      <c r="R39" s="33">
        <v>0</v>
      </c>
      <c r="S39" s="33">
        <v>1</v>
      </c>
      <c r="T39" s="27">
        <v>1</v>
      </c>
      <c r="U39" s="27">
        <v>0</v>
      </c>
      <c r="V39" s="27">
        <v>0</v>
      </c>
      <c r="W39" s="27">
        <v>0</v>
      </c>
      <c r="X39" s="27">
        <v>0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7">
        <v>0</v>
      </c>
      <c r="AJ39" s="27">
        <v>0</v>
      </c>
      <c r="AK39" s="27">
        <v>0</v>
      </c>
    </row>
  </sheetData>
  <mergeCells count="15">
    <mergeCell ref="F11:K11"/>
    <mergeCell ref="L11:N11"/>
    <mergeCell ref="A6:C6"/>
    <mergeCell ref="A7:C7"/>
    <mergeCell ref="A10:A11"/>
    <mergeCell ref="B10:B11"/>
    <mergeCell ref="C10:C11"/>
    <mergeCell ref="D10:D11"/>
    <mergeCell ref="E10:E11"/>
    <mergeCell ref="A5:C5"/>
    <mergeCell ref="A1:C1"/>
    <mergeCell ref="E1:G1"/>
    <mergeCell ref="A2:C2"/>
    <mergeCell ref="A4:C4"/>
    <mergeCell ref="E4:G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F96F-ABE2-4B82-BC28-00D2D9A5445D}">
  <dimension ref="A1:E28"/>
  <sheetViews>
    <sheetView workbookViewId="0"/>
  </sheetViews>
  <sheetFormatPr defaultRowHeight="14.4" x14ac:dyDescent="0.3"/>
  <sheetData>
    <row r="1" spans="1:5" x14ac:dyDescent="0.3">
      <c r="A1" s="1" t="s">
        <v>96</v>
      </c>
      <c r="B1" s="1"/>
      <c r="C1" s="1" t="s">
        <v>89</v>
      </c>
      <c r="D1" s="1">
        <v>30</v>
      </c>
      <c r="E1" s="1" t="s">
        <v>97</v>
      </c>
    </row>
    <row r="2" spans="1:5" x14ac:dyDescent="0.3">
      <c r="A2" s="1" t="s">
        <v>98</v>
      </c>
      <c r="B2" s="1"/>
      <c r="C2" s="1" t="str">
        <f>DEC2HEX(HEX2DEC(LEFT(C1,LEN(C1)-1))+1)&amp;"h"</f>
        <v>1001h</v>
      </c>
      <c r="D2" s="29" t="s">
        <v>90</v>
      </c>
      <c r="E2" s="1" t="s">
        <v>99</v>
      </c>
    </row>
    <row r="3" spans="1:5" x14ac:dyDescent="0.3">
      <c r="A3" s="1" t="s">
        <v>100</v>
      </c>
      <c r="B3" s="1"/>
      <c r="C3" s="1" t="str">
        <f t="shared" ref="C3:C28" si="0">DEC2HEX(HEX2DEC(LEFT(C2,LEN(C2)-1))+1)&amp;"h"</f>
        <v>1002h</v>
      </c>
      <c r="D3" s="1" t="s">
        <v>101</v>
      </c>
      <c r="E3" s="1"/>
    </row>
    <row r="4" spans="1:5" x14ac:dyDescent="0.3">
      <c r="A4" s="1" t="s">
        <v>102</v>
      </c>
      <c r="B4" s="1"/>
      <c r="C4" s="1" t="str">
        <f t="shared" si="0"/>
        <v>1003h</v>
      </c>
      <c r="D4" s="29" t="s">
        <v>90</v>
      </c>
      <c r="E4" s="1"/>
    </row>
    <row r="5" spans="1:5" x14ac:dyDescent="0.3">
      <c r="A5" s="1" t="s">
        <v>103</v>
      </c>
      <c r="B5" s="1"/>
      <c r="C5" s="1" t="str">
        <f t="shared" si="0"/>
        <v>1004h</v>
      </c>
      <c r="D5" s="1">
        <v>31</v>
      </c>
      <c r="E5" s="1" t="s">
        <v>104</v>
      </c>
    </row>
    <row r="6" spans="1:5" x14ac:dyDescent="0.3">
      <c r="A6" s="1" t="s">
        <v>105</v>
      </c>
      <c r="B6" s="1"/>
      <c r="C6" s="1" t="str">
        <f t="shared" si="0"/>
        <v>1005h</v>
      </c>
      <c r="D6" s="1">
        <v>10</v>
      </c>
      <c r="E6" s="1" t="s">
        <v>106</v>
      </c>
    </row>
    <row r="7" spans="1:5" x14ac:dyDescent="0.3">
      <c r="A7" s="1" t="s">
        <v>98</v>
      </c>
      <c r="B7" s="1"/>
      <c r="C7" s="1" t="str">
        <f t="shared" si="0"/>
        <v>1006h</v>
      </c>
      <c r="D7" s="29" t="s">
        <v>95</v>
      </c>
      <c r="E7" s="1"/>
    </row>
    <row r="8" spans="1:5" x14ac:dyDescent="0.3">
      <c r="A8" s="1" t="s">
        <v>107</v>
      </c>
      <c r="B8" s="1"/>
      <c r="C8" s="1" t="str">
        <f t="shared" si="0"/>
        <v>1007h</v>
      </c>
      <c r="D8" s="29" t="s">
        <v>90</v>
      </c>
      <c r="E8" s="1"/>
    </row>
    <row r="9" spans="1:5" x14ac:dyDescent="0.3">
      <c r="A9" s="1" t="s">
        <v>108</v>
      </c>
      <c r="B9" s="1"/>
      <c r="C9" s="1" t="str">
        <f t="shared" si="0"/>
        <v>1008h</v>
      </c>
      <c r="D9" s="1">
        <v>30</v>
      </c>
      <c r="E9" s="1" t="s">
        <v>97</v>
      </c>
    </row>
    <row r="10" spans="1:5" x14ac:dyDescent="0.3">
      <c r="A10" s="1"/>
      <c r="B10" s="1"/>
      <c r="C10" s="1" t="str">
        <f t="shared" si="0"/>
        <v>1009h</v>
      </c>
      <c r="D10" s="29" t="s">
        <v>90</v>
      </c>
      <c r="E10" s="1" t="s">
        <v>99</v>
      </c>
    </row>
    <row r="11" spans="1:5" x14ac:dyDescent="0.3">
      <c r="A11" s="1"/>
      <c r="B11" s="1"/>
      <c r="C11" s="1" t="str">
        <f t="shared" si="0"/>
        <v>100Ah</v>
      </c>
      <c r="D11" s="29" t="s">
        <v>95</v>
      </c>
      <c r="E11" s="1"/>
    </row>
    <row r="12" spans="1:5" x14ac:dyDescent="0.3">
      <c r="A12" s="1"/>
      <c r="B12" s="1"/>
      <c r="C12" s="1" t="str">
        <f t="shared" si="0"/>
        <v>100Bh</v>
      </c>
      <c r="D12" s="29" t="s">
        <v>90</v>
      </c>
      <c r="E12" s="1"/>
    </row>
    <row r="13" spans="1:5" x14ac:dyDescent="0.3">
      <c r="A13" s="1"/>
      <c r="B13" s="1"/>
      <c r="C13" s="1" t="str">
        <f>DEC2HEX(HEX2DEC(LEFT(C12,LEN(C12)-1))+1)&amp;"h"</f>
        <v>100Ch</v>
      </c>
      <c r="D13" s="1">
        <v>31</v>
      </c>
      <c r="E13" s="1" t="s">
        <v>104</v>
      </c>
    </row>
    <row r="14" spans="1:5" x14ac:dyDescent="0.3">
      <c r="A14" s="1"/>
      <c r="B14" s="1"/>
      <c r="C14" s="1" t="str">
        <f t="shared" si="0"/>
        <v>100Dh</v>
      </c>
      <c r="D14" s="1">
        <v>22</v>
      </c>
      <c r="E14" s="1" t="s">
        <v>109</v>
      </c>
    </row>
    <row r="15" spans="1:5" x14ac:dyDescent="0.3">
      <c r="A15" s="1"/>
      <c r="B15" s="1"/>
      <c r="C15" s="1" t="str">
        <f t="shared" si="0"/>
        <v>100Eh</v>
      </c>
      <c r="D15" s="1">
        <v>30</v>
      </c>
      <c r="E15" s="1" t="s">
        <v>97</v>
      </c>
    </row>
    <row r="16" spans="1:5" x14ac:dyDescent="0.3">
      <c r="A16" s="1"/>
      <c r="B16" s="1"/>
      <c r="C16" s="1" t="str">
        <f t="shared" si="0"/>
        <v>100Fh</v>
      </c>
      <c r="D16" s="1">
        <v>10</v>
      </c>
      <c r="E16" s="1" t="s">
        <v>106</v>
      </c>
    </row>
    <row r="17" spans="1:5" x14ac:dyDescent="0.3">
      <c r="A17" s="1"/>
      <c r="B17" s="1"/>
      <c r="C17" s="1" t="str">
        <f t="shared" si="0"/>
        <v>1010h</v>
      </c>
      <c r="D17" s="29" t="s">
        <v>95</v>
      </c>
      <c r="E17" s="1"/>
    </row>
    <row r="18" spans="1:5" x14ac:dyDescent="0.3">
      <c r="A18" s="1"/>
      <c r="B18" s="1"/>
      <c r="C18" s="1" t="str">
        <f t="shared" si="0"/>
        <v>1011h</v>
      </c>
      <c r="D18" s="29" t="s">
        <v>90</v>
      </c>
      <c r="E18" s="1"/>
    </row>
    <row r="19" spans="1:5" x14ac:dyDescent="0.3">
      <c r="A19" s="1"/>
      <c r="B19" s="1"/>
      <c r="C19" s="1" t="str">
        <f t="shared" si="0"/>
        <v>1012h</v>
      </c>
      <c r="D19" s="1">
        <v>36</v>
      </c>
      <c r="E19" s="1" t="s">
        <v>110</v>
      </c>
    </row>
    <row r="20" spans="1:5" x14ac:dyDescent="0.3">
      <c r="A20" s="1"/>
      <c r="B20" s="1"/>
      <c r="C20" s="1" t="str">
        <f t="shared" si="0"/>
        <v>1013h</v>
      </c>
      <c r="D20" s="1">
        <v>22</v>
      </c>
      <c r="E20" s="1" t="s">
        <v>109</v>
      </c>
    </row>
    <row r="21" spans="1:5" x14ac:dyDescent="0.3">
      <c r="A21" s="1"/>
      <c r="B21" s="1"/>
      <c r="C21" s="1" t="str">
        <f t="shared" si="0"/>
        <v>1014h</v>
      </c>
      <c r="D21" s="1">
        <v>31</v>
      </c>
      <c r="E21" s="1" t="s">
        <v>104</v>
      </c>
    </row>
    <row r="22" spans="1:5" x14ac:dyDescent="0.3">
      <c r="A22" s="1"/>
      <c r="B22" s="1"/>
      <c r="C22" s="1" t="str">
        <f t="shared" si="0"/>
        <v>1015h</v>
      </c>
      <c r="D22" s="1">
        <v>10</v>
      </c>
      <c r="E22" s="1" t="s">
        <v>106</v>
      </c>
    </row>
    <row r="23" spans="1:5" x14ac:dyDescent="0.3">
      <c r="A23" s="1"/>
      <c r="B23" s="1"/>
      <c r="C23" s="1" t="str">
        <f t="shared" si="0"/>
        <v>1016h</v>
      </c>
      <c r="D23" s="29" t="s">
        <v>95</v>
      </c>
      <c r="E23" s="1"/>
    </row>
    <row r="24" spans="1:5" x14ac:dyDescent="0.3">
      <c r="A24" s="1"/>
      <c r="B24" s="1"/>
      <c r="C24" s="1" t="str">
        <f t="shared" si="0"/>
        <v>1017h</v>
      </c>
      <c r="D24" s="29" t="s">
        <v>90</v>
      </c>
      <c r="E24" s="1"/>
    </row>
    <row r="25" spans="1:5" x14ac:dyDescent="0.3">
      <c r="A25" s="1"/>
      <c r="B25" s="1"/>
      <c r="C25" s="1" t="str">
        <f t="shared" si="0"/>
        <v>1018h</v>
      </c>
      <c r="D25" s="1">
        <v>14</v>
      </c>
      <c r="E25" s="1" t="s">
        <v>111</v>
      </c>
    </row>
    <row r="26" spans="1:5" x14ac:dyDescent="0.3">
      <c r="A26" s="1"/>
      <c r="B26" s="1"/>
      <c r="C26" s="1" t="str">
        <f t="shared" si="0"/>
        <v>1019h</v>
      </c>
      <c r="D26" s="29" t="s">
        <v>112</v>
      </c>
      <c r="E26" s="1"/>
    </row>
    <row r="27" spans="1:5" x14ac:dyDescent="0.3">
      <c r="A27" s="1"/>
      <c r="B27" s="1"/>
      <c r="C27" s="1" t="str">
        <f t="shared" si="0"/>
        <v>101Ah</v>
      </c>
      <c r="D27" s="29" t="s">
        <v>94</v>
      </c>
      <c r="E27" s="1"/>
    </row>
    <row r="28" spans="1:5" x14ac:dyDescent="0.3">
      <c r="A28" s="1"/>
      <c r="B28" s="1"/>
      <c r="C28" s="1" t="str">
        <f t="shared" si="0"/>
        <v>101Bh</v>
      </c>
      <c r="D28" s="29" t="s">
        <v>90</v>
      </c>
      <c r="E28" s="1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C73A-EDF7-4141-BF8C-4155E40184F3}">
  <dimension ref="A1:E9"/>
  <sheetViews>
    <sheetView workbookViewId="0"/>
  </sheetViews>
  <sheetFormatPr defaultRowHeight="14.4" x14ac:dyDescent="0.3"/>
  <cols>
    <col min="1" max="16384" width="8.88671875" style="29"/>
  </cols>
  <sheetData>
    <row r="1" spans="1:5" x14ac:dyDescent="0.3">
      <c r="A1" s="29" t="s">
        <v>88</v>
      </c>
      <c r="C1" s="29" t="s">
        <v>89</v>
      </c>
      <c r="D1" s="29">
        <v>30</v>
      </c>
      <c r="E1" s="29" t="s">
        <v>97</v>
      </c>
    </row>
    <row r="2" spans="1:5" x14ac:dyDescent="0.3">
      <c r="A2" s="29" t="s">
        <v>113</v>
      </c>
      <c r="C2" s="29" t="str">
        <f>DEC2HEX(HEX2DEC(LEFT(C1,LEN(C1)-1))+1)&amp;"h"</f>
        <v>1001h</v>
      </c>
      <c r="D2" s="29" t="s">
        <v>90</v>
      </c>
      <c r="E2" s="29" t="s">
        <v>99</v>
      </c>
    </row>
    <row r="3" spans="1:5" x14ac:dyDescent="0.3">
      <c r="A3" s="29" t="s">
        <v>108</v>
      </c>
      <c r="C3" s="29" t="str">
        <f t="shared" ref="C3:C9" si="0">DEC2HEX(HEX2DEC(LEFT(C2,LEN(C2)-1))+1)&amp;"h"</f>
        <v>1002h</v>
      </c>
      <c r="D3" s="29" t="s">
        <v>91</v>
      </c>
    </row>
    <row r="4" spans="1:5" x14ac:dyDescent="0.3">
      <c r="C4" s="29" t="str">
        <f t="shared" si="0"/>
        <v>1003h</v>
      </c>
      <c r="D4" s="29" t="s">
        <v>92</v>
      </c>
    </row>
    <row r="5" spans="1:5" x14ac:dyDescent="0.3">
      <c r="C5" s="29" t="str">
        <f t="shared" si="0"/>
        <v>1004h</v>
      </c>
      <c r="D5" s="29" t="s">
        <v>93</v>
      </c>
      <c r="E5" s="29" t="s">
        <v>104</v>
      </c>
    </row>
    <row r="6" spans="1:5" x14ac:dyDescent="0.3">
      <c r="C6" s="29" t="str">
        <f t="shared" si="0"/>
        <v>1005h</v>
      </c>
      <c r="D6" s="29" t="s">
        <v>94</v>
      </c>
      <c r="E6" s="29" t="s">
        <v>106</v>
      </c>
    </row>
    <row r="7" spans="1:5" x14ac:dyDescent="0.3">
      <c r="C7" s="29" t="str">
        <f t="shared" si="0"/>
        <v>1006h</v>
      </c>
      <c r="D7" s="29" t="s">
        <v>114</v>
      </c>
    </row>
    <row r="8" spans="1:5" x14ac:dyDescent="0.3">
      <c r="C8" s="29" t="str">
        <f t="shared" si="0"/>
        <v>1007h</v>
      </c>
      <c r="D8" s="29" t="s">
        <v>94</v>
      </c>
    </row>
    <row r="9" spans="1:5" x14ac:dyDescent="0.3">
      <c r="C9" s="29" t="str">
        <f t="shared" si="0"/>
        <v>1008h</v>
      </c>
      <c r="D9" s="29" t="s">
        <v>90</v>
      </c>
      <c r="E9" s="29" t="s">
        <v>108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888F-51C8-40A3-B616-6E1C1CBA6B5C}">
  <dimension ref="A1:E44"/>
  <sheetViews>
    <sheetView workbookViewId="0"/>
  </sheetViews>
  <sheetFormatPr defaultRowHeight="14.4" x14ac:dyDescent="0.3"/>
  <cols>
    <col min="1" max="16384" width="8.88671875" style="29"/>
  </cols>
  <sheetData>
    <row r="1" spans="1:5" x14ac:dyDescent="0.3">
      <c r="A1" s="29" t="s">
        <v>115</v>
      </c>
      <c r="C1" s="29" t="s">
        <v>89</v>
      </c>
      <c r="D1" s="29" t="s">
        <v>128</v>
      </c>
      <c r="E1" s="29" t="s">
        <v>115</v>
      </c>
    </row>
    <row r="2" spans="1:5" x14ac:dyDescent="0.3">
      <c r="A2" s="29" t="s">
        <v>116</v>
      </c>
      <c r="C2" s="29" t="str">
        <f>DEC2HEX(HEX2DEC(LEFT(C1,LEN(C1)-1))+1)&amp;"h"</f>
        <v>1001h</v>
      </c>
      <c r="D2" s="29" t="s">
        <v>129</v>
      </c>
      <c r="E2" s="29" t="s">
        <v>116</v>
      </c>
    </row>
    <row r="3" spans="1:5" x14ac:dyDescent="0.3">
      <c r="A3" s="29" t="s">
        <v>117</v>
      </c>
      <c r="C3" s="29" t="str">
        <f t="shared" ref="C3:C44" si="0">DEC2HEX(HEX2DEC(LEFT(C2,LEN(C2)-1))+1)&amp;"h"</f>
        <v>1002h</v>
      </c>
      <c r="D3" s="29" t="s">
        <v>130</v>
      </c>
      <c r="E3" s="29" t="s">
        <v>117</v>
      </c>
    </row>
    <row r="4" spans="1:5" x14ac:dyDescent="0.3">
      <c r="A4" s="29" t="s">
        <v>118</v>
      </c>
      <c r="C4" s="29" t="str">
        <f t="shared" si="0"/>
        <v>1003h</v>
      </c>
      <c r="D4" s="29" t="s">
        <v>131</v>
      </c>
      <c r="E4" s="29" t="s">
        <v>97</v>
      </c>
    </row>
    <row r="5" spans="1:5" x14ac:dyDescent="0.3">
      <c r="A5" s="29" t="s">
        <v>119</v>
      </c>
      <c r="C5" s="29" t="str">
        <f t="shared" si="0"/>
        <v>1004h</v>
      </c>
      <c r="D5" s="29" t="s">
        <v>90</v>
      </c>
      <c r="E5" s="29" t="s">
        <v>99</v>
      </c>
    </row>
    <row r="6" spans="1:5" x14ac:dyDescent="0.3">
      <c r="A6" s="29" t="s">
        <v>120</v>
      </c>
      <c r="C6" s="29" t="str">
        <f t="shared" si="0"/>
        <v>1005h</v>
      </c>
      <c r="D6" s="29" t="s">
        <v>95</v>
      </c>
    </row>
    <row r="7" spans="1:5" x14ac:dyDescent="0.3">
      <c r="A7" s="29" t="s">
        <v>138</v>
      </c>
      <c r="C7" s="29" t="str">
        <f t="shared" si="0"/>
        <v>1006h</v>
      </c>
      <c r="D7" s="29" t="s">
        <v>133</v>
      </c>
    </row>
    <row r="8" spans="1:5" x14ac:dyDescent="0.3">
      <c r="C8" s="29" t="str">
        <f t="shared" si="0"/>
        <v>1007h</v>
      </c>
      <c r="D8" s="29" t="s">
        <v>134</v>
      </c>
      <c r="E8" s="29" t="s">
        <v>119</v>
      </c>
    </row>
    <row r="9" spans="1:5" x14ac:dyDescent="0.3">
      <c r="A9" s="29" t="s">
        <v>121</v>
      </c>
      <c r="C9" s="29" t="str">
        <f t="shared" si="0"/>
        <v>1008h</v>
      </c>
      <c r="D9" s="29" t="s">
        <v>135</v>
      </c>
      <c r="E9" s="29" t="s">
        <v>120</v>
      </c>
    </row>
    <row r="10" spans="1:5" x14ac:dyDescent="0.3">
      <c r="A10" s="29" t="s">
        <v>122</v>
      </c>
      <c r="C10" s="29" t="str">
        <f t="shared" si="0"/>
        <v>1009h</v>
      </c>
      <c r="D10" s="29" t="s">
        <v>136</v>
      </c>
      <c r="E10" s="29" t="s">
        <v>137</v>
      </c>
    </row>
    <row r="11" spans="1:5" x14ac:dyDescent="0.3">
      <c r="A11" s="29" t="s">
        <v>123</v>
      </c>
      <c r="C11" s="29" t="str">
        <f t="shared" si="0"/>
        <v>100Ah</v>
      </c>
      <c r="D11" s="29" t="s">
        <v>132</v>
      </c>
    </row>
    <row r="12" spans="1:5" x14ac:dyDescent="0.3">
      <c r="A12" s="29" t="s">
        <v>102</v>
      </c>
      <c r="C12" s="29" t="str">
        <f t="shared" si="0"/>
        <v>100Bh</v>
      </c>
      <c r="D12" s="29" t="s">
        <v>94</v>
      </c>
    </row>
    <row r="13" spans="1:5" x14ac:dyDescent="0.3">
      <c r="A13" s="29" t="s">
        <v>124</v>
      </c>
    </row>
    <row r="14" spans="1:5" x14ac:dyDescent="0.3">
      <c r="A14" s="29" t="s">
        <v>125</v>
      </c>
      <c r="C14" s="29" t="s">
        <v>139</v>
      </c>
      <c r="D14" s="29" t="s">
        <v>131</v>
      </c>
      <c r="E14" s="29" t="s">
        <v>97</v>
      </c>
    </row>
    <row r="15" spans="1:5" x14ac:dyDescent="0.3">
      <c r="A15" s="29" t="s">
        <v>126</v>
      </c>
      <c r="C15" s="29" t="str">
        <f t="shared" si="0"/>
        <v>1051h</v>
      </c>
      <c r="D15" s="29" t="s">
        <v>90</v>
      </c>
      <c r="E15" s="29" t="s">
        <v>99</v>
      </c>
    </row>
    <row r="16" spans="1:5" x14ac:dyDescent="0.3">
      <c r="A16" s="29" t="s">
        <v>127</v>
      </c>
      <c r="C16" s="29" t="str">
        <f t="shared" si="0"/>
        <v>1052h</v>
      </c>
      <c r="D16" s="29" t="s">
        <v>140</v>
      </c>
    </row>
    <row r="17" spans="1:5" x14ac:dyDescent="0.3">
      <c r="A17" s="29" t="s">
        <v>152</v>
      </c>
      <c r="C17" s="29" t="str">
        <f t="shared" si="0"/>
        <v>1053h</v>
      </c>
      <c r="D17" s="29" t="s">
        <v>140</v>
      </c>
    </row>
    <row r="18" spans="1:5" x14ac:dyDescent="0.3">
      <c r="A18" s="29" t="s">
        <v>108</v>
      </c>
      <c r="C18" s="29" t="str">
        <f t="shared" si="0"/>
        <v>1054h</v>
      </c>
      <c r="D18" s="29" t="s">
        <v>93</v>
      </c>
      <c r="E18" s="29" t="s">
        <v>104</v>
      </c>
    </row>
    <row r="19" spans="1:5" x14ac:dyDescent="0.3">
      <c r="C19" s="29" t="str">
        <f t="shared" si="0"/>
        <v>1055h</v>
      </c>
      <c r="D19" s="29" t="s">
        <v>94</v>
      </c>
      <c r="E19" s="29" t="s">
        <v>106</v>
      </c>
    </row>
    <row r="20" spans="1:5" x14ac:dyDescent="0.3">
      <c r="C20" s="29" t="str">
        <f t="shared" si="0"/>
        <v>1056h</v>
      </c>
      <c r="D20" s="29" t="s">
        <v>90</v>
      </c>
    </row>
    <row r="21" spans="1:5" x14ac:dyDescent="0.3">
      <c r="C21" s="29" t="str">
        <f t="shared" si="0"/>
        <v>1057h</v>
      </c>
      <c r="D21" s="29" t="s">
        <v>95</v>
      </c>
    </row>
    <row r="22" spans="1:5" x14ac:dyDescent="0.3">
      <c r="C22" s="29" t="str">
        <f t="shared" si="0"/>
        <v>1058h</v>
      </c>
      <c r="D22" s="29" t="s">
        <v>131</v>
      </c>
      <c r="E22" s="29" t="s">
        <v>97</v>
      </c>
    </row>
    <row r="23" spans="1:5" x14ac:dyDescent="0.3">
      <c r="C23" s="29" t="str">
        <f t="shared" si="0"/>
        <v>1059h</v>
      </c>
      <c r="D23" s="29" t="s">
        <v>90</v>
      </c>
      <c r="E23" s="29" t="s">
        <v>99</v>
      </c>
    </row>
    <row r="24" spans="1:5" x14ac:dyDescent="0.3">
      <c r="C24" s="29" t="str">
        <f t="shared" si="0"/>
        <v>105Ah</v>
      </c>
      <c r="D24" s="29" t="s">
        <v>141</v>
      </c>
    </row>
    <row r="25" spans="1:5" x14ac:dyDescent="0.3">
      <c r="C25" s="29" t="str">
        <f t="shared" si="0"/>
        <v>105Bh</v>
      </c>
      <c r="D25" s="29" t="s">
        <v>141</v>
      </c>
    </row>
    <row r="26" spans="1:5" x14ac:dyDescent="0.3">
      <c r="C26" s="29" t="str">
        <f t="shared" si="0"/>
        <v>105Ch</v>
      </c>
      <c r="D26" s="29" t="s">
        <v>93</v>
      </c>
      <c r="E26" s="29" t="s">
        <v>104</v>
      </c>
    </row>
    <row r="27" spans="1:5" x14ac:dyDescent="0.3">
      <c r="C27" s="29" t="str">
        <f t="shared" si="0"/>
        <v>105Dh</v>
      </c>
      <c r="D27" s="29" t="s">
        <v>142</v>
      </c>
      <c r="E27" s="29" t="s">
        <v>109</v>
      </c>
    </row>
    <row r="28" spans="1:5" x14ac:dyDescent="0.3">
      <c r="C28" s="29" t="str">
        <f t="shared" si="0"/>
        <v>105Eh</v>
      </c>
      <c r="D28" s="29" t="s">
        <v>131</v>
      </c>
      <c r="E28" s="29" t="s">
        <v>97</v>
      </c>
    </row>
    <row r="29" spans="1:5" x14ac:dyDescent="0.3">
      <c r="C29" s="29" t="str">
        <f t="shared" si="0"/>
        <v>105Fh</v>
      </c>
      <c r="D29" s="29" t="s">
        <v>94</v>
      </c>
      <c r="E29" s="29" t="s">
        <v>106</v>
      </c>
    </row>
    <row r="30" spans="1:5" x14ac:dyDescent="0.3">
      <c r="C30" s="29" t="str">
        <f t="shared" si="0"/>
        <v>1060h</v>
      </c>
      <c r="D30" s="29" t="s">
        <v>90</v>
      </c>
    </row>
    <row r="31" spans="1:5" x14ac:dyDescent="0.3">
      <c r="C31" s="29" t="str">
        <f t="shared" si="0"/>
        <v>1061h</v>
      </c>
      <c r="D31" s="29" t="s">
        <v>95</v>
      </c>
    </row>
    <row r="32" spans="1:5" x14ac:dyDescent="0.3">
      <c r="C32" s="29" t="str">
        <f t="shared" si="0"/>
        <v>1062h</v>
      </c>
      <c r="D32" s="29" t="s">
        <v>144</v>
      </c>
      <c r="E32" s="29" t="s">
        <v>143</v>
      </c>
    </row>
    <row r="33" spans="3:5" x14ac:dyDescent="0.3">
      <c r="C33" s="29" t="str">
        <f t="shared" si="0"/>
        <v>1063h</v>
      </c>
      <c r="D33" s="29" t="s">
        <v>142</v>
      </c>
      <c r="E33" s="29" t="s">
        <v>109</v>
      </c>
    </row>
    <row r="34" spans="3:5" x14ac:dyDescent="0.3">
      <c r="C34" s="29" t="str">
        <f t="shared" si="0"/>
        <v>1064h</v>
      </c>
      <c r="D34" s="29" t="s">
        <v>93</v>
      </c>
      <c r="E34" s="29" t="s">
        <v>104</v>
      </c>
    </row>
    <row r="35" spans="3:5" x14ac:dyDescent="0.3">
      <c r="C35" s="29" t="str">
        <f t="shared" si="0"/>
        <v>1065h</v>
      </c>
      <c r="D35" s="29" t="s">
        <v>131</v>
      </c>
      <c r="E35" s="29" t="s">
        <v>145</v>
      </c>
    </row>
    <row r="36" spans="3:5" x14ac:dyDescent="0.3">
      <c r="C36" s="29" t="str">
        <f t="shared" si="0"/>
        <v>1066h</v>
      </c>
      <c r="D36" s="29" t="s">
        <v>90</v>
      </c>
    </row>
    <row r="37" spans="3:5" x14ac:dyDescent="0.3">
      <c r="C37" s="29" t="str">
        <f t="shared" si="0"/>
        <v>1067h</v>
      </c>
      <c r="D37" s="29" t="s">
        <v>95</v>
      </c>
    </row>
    <row r="38" spans="3:5" x14ac:dyDescent="0.3">
      <c r="C38" s="29" t="str">
        <f t="shared" si="0"/>
        <v>1068h</v>
      </c>
      <c r="D38" s="29" t="s">
        <v>131</v>
      </c>
      <c r="E38" s="29" t="s">
        <v>97</v>
      </c>
    </row>
    <row r="39" spans="3:5" x14ac:dyDescent="0.3">
      <c r="C39" s="29" t="str">
        <f t="shared" si="0"/>
        <v>1069h</v>
      </c>
      <c r="D39" s="29" t="s">
        <v>90</v>
      </c>
      <c r="E39" s="29" t="s">
        <v>99</v>
      </c>
    </row>
    <row r="40" spans="3:5" x14ac:dyDescent="0.3">
      <c r="C40" s="29" t="str">
        <f t="shared" si="0"/>
        <v>106Ah</v>
      </c>
      <c r="D40" s="29" t="s">
        <v>90</v>
      </c>
    </row>
    <row r="41" spans="3:5" x14ac:dyDescent="0.3">
      <c r="C41" s="29" t="str">
        <f t="shared" si="0"/>
        <v>106Bh</v>
      </c>
      <c r="D41" s="29" t="s">
        <v>90</v>
      </c>
    </row>
    <row r="42" spans="3:5" x14ac:dyDescent="0.3">
      <c r="C42" s="29" t="str">
        <f t="shared" si="0"/>
        <v>106Ch</v>
      </c>
      <c r="D42" s="29" t="s">
        <v>148</v>
      </c>
      <c r="E42" s="29" t="s">
        <v>146</v>
      </c>
    </row>
    <row r="43" spans="3:5" x14ac:dyDescent="0.3">
      <c r="C43" s="29" t="str">
        <f t="shared" si="0"/>
        <v>106Dh</v>
      </c>
      <c r="D43" s="29" t="s">
        <v>147</v>
      </c>
    </row>
    <row r="44" spans="3:5" x14ac:dyDescent="0.3">
      <c r="C44" s="29" t="str">
        <f t="shared" si="0"/>
        <v>106Eh</v>
      </c>
      <c r="D44" s="29" t="s">
        <v>90</v>
      </c>
      <c r="E44" s="29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F876-D12D-49D1-8931-01716211A259}">
  <dimension ref="A1:M51"/>
  <sheetViews>
    <sheetView workbookViewId="0"/>
  </sheetViews>
  <sheetFormatPr defaultRowHeight="14.4" x14ac:dyDescent="0.3"/>
  <cols>
    <col min="1" max="1" width="8.88671875" style="29"/>
    <col min="2" max="2" width="13.33203125" style="29" customWidth="1"/>
    <col min="3" max="16384" width="8.88671875" style="29"/>
  </cols>
  <sheetData>
    <row r="1" spans="1:13" x14ac:dyDescent="0.3">
      <c r="A1" s="29" t="s">
        <v>89</v>
      </c>
      <c r="B1" s="29" t="s">
        <v>100</v>
      </c>
      <c r="D1" s="29" t="s">
        <v>89</v>
      </c>
      <c r="E1" s="29">
        <v>30</v>
      </c>
      <c r="F1" s="29" t="s">
        <v>97</v>
      </c>
      <c r="H1" s="29" t="s">
        <v>170</v>
      </c>
      <c r="I1" s="29" t="s">
        <v>131</v>
      </c>
      <c r="J1" s="29" t="s">
        <v>97</v>
      </c>
      <c r="L1" s="29" t="s">
        <v>190</v>
      </c>
      <c r="M1" s="29" t="s">
        <v>191</v>
      </c>
    </row>
    <row r="2" spans="1:13" x14ac:dyDescent="0.3">
      <c r="A2" s="29" t="s">
        <v>166</v>
      </c>
      <c r="B2" s="29" t="s">
        <v>154</v>
      </c>
      <c r="D2" s="29" t="str">
        <f>DEC2HEX(HEX2DEC(LEFT(D1,LEN(D1)-1))+1)&amp;"h"</f>
        <v>1001h</v>
      </c>
      <c r="E2" s="29" t="s">
        <v>90</v>
      </c>
      <c r="F2" s="29" t="s">
        <v>99</v>
      </c>
      <c r="H2" s="29" t="str">
        <f>DEC2HEX(HEX2DEC(LEFT(H1,LEN(H1)-1))+1)&amp;"h"</f>
        <v>3001h</v>
      </c>
      <c r="I2" s="29" t="s">
        <v>90</v>
      </c>
      <c r="J2" s="29" t="s">
        <v>99</v>
      </c>
      <c r="L2" s="29" t="str">
        <f>DEC2HEX(HEX2DEC(LEFT(L1,LEN(L1)-1))+1)&amp;"h"</f>
        <v>6001h</v>
      </c>
      <c r="M2" s="29" t="s">
        <v>92</v>
      </c>
    </row>
    <row r="3" spans="1:13" x14ac:dyDescent="0.3">
      <c r="A3" s="29" t="s">
        <v>167</v>
      </c>
      <c r="B3" s="29" t="s">
        <v>153</v>
      </c>
      <c r="D3" s="29" t="str">
        <f t="shared" ref="D3:D49" si="0">DEC2HEX(HEX2DEC(LEFT(D2,LEN(D2)-1))+1)&amp;"h"</f>
        <v>1002h</v>
      </c>
      <c r="E3" s="29" t="s">
        <v>95</v>
      </c>
      <c r="H3" s="29" t="str">
        <f t="shared" ref="H3:H12" si="1">DEC2HEX(HEX2DEC(LEFT(H2,LEN(H2)-1))+1)&amp;"h"</f>
        <v>3002h</v>
      </c>
      <c r="I3" s="29" t="s">
        <v>90</v>
      </c>
      <c r="L3" s="29" t="str">
        <f t="shared" ref="L3:L17" si="2">DEC2HEX(HEX2DEC(LEFT(L2,LEN(L2)-1))+1)&amp;"h"</f>
        <v>6002h</v>
      </c>
      <c r="M3" s="29" t="s">
        <v>192</v>
      </c>
    </row>
    <row r="4" spans="1:13" x14ac:dyDescent="0.3">
      <c r="A4" s="29" t="s">
        <v>168</v>
      </c>
      <c r="B4" s="29" t="s">
        <v>158</v>
      </c>
      <c r="D4" s="29" t="str">
        <f t="shared" si="0"/>
        <v>1003h</v>
      </c>
      <c r="E4" s="29" t="s">
        <v>90</v>
      </c>
      <c r="H4" s="29" t="str">
        <f t="shared" si="1"/>
        <v>3003h</v>
      </c>
      <c r="I4" s="29" t="s">
        <v>175</v>
      </c>
      <c r="L4" s="29" t="str">
        <f t="shared" si="2"/>
        <v>6003h</v>
      </c>
      <c r="M4" s="29" t="s">
        <v>193</v>
      </c>
    </row>
    <row r="5" spans="1:13" x14ac:dyDescent="0.3">
      <c r="D5" s="29" t="str">
        <f t="shared" si="0"/>
        <v>1004h</v>
      </c>
      <c r="E5" s="29" t="s">
        <v>93</v>
      </c>
      <c r="F5" s="29" t="s">
        <v>104</v>
      </c>
      <c r="H5" s="29" t="str">
        <f t="shared" si="1"/>
        <v>3004h</v>
      </c>
      <c r="I5" s="29" t="s">
        <v>93</v>
      </c>
      <c r="J5" s="29" t="s">
        <v>104</v>
      </c>
      <c r="L5" s="29" t="str">
        <f t="shared" si="2"/>
        <v>6004h</v>
      </c>
      <c r="M5" s="29" t="s">
        <v>194</v>
      </c>
    </row>
    <row r="6" spans="1:13" x14ac:dyDescent="0.3">
      <c r="A6" s="29" t="s">
        <v>157</v>
      </c>
      <c r="B6" s="29" t="s">
        <v>159</v>
      </c>
      <c r="D6" s="29" t="str">
        <f t="shared" si="0"/>
        <v>1005h</v>
      </c>
      <c r="E6" s="29" t="s">
        <v>94</v>
      </c>
      <c r="F6" s="29" t="s">
        <v>106</v>
      </c>
      <c r="H6" s="29" t="str">
        <f t="shared" si="1"/>
        <v>3005h</v>
      </c>
      <c r="I6" s="29" t="s">
        <v>178</v>
      </c>
      <c r="J6" s="29" t="s">
        <v>179</v>
      </c>
      <c r="L6" s="29" t="str">
        <f t="shared" si="2"/>
        <v>6005h</v>
      </c>
      <c r="M6" s="29" t="s">
        <v>195</v>
      </c>
    </row>
    <row r="7" spans="1:13" x14ac:dyDescent="0.3">
      <c r="A7" s="29" t="s">
        <v>169</v>
      </c>
      <c r="B7" s="29" t="s">
        <v>163</v>
      </c>
      <c r="D7" s="29" t="str">
        <f t="shared" si="0"/>
        <v>1006h</v>
      </c>
      <c r="E7" s="29" t="s">
        <v>131</v>
      </c>
      <c r="H7" s="29" t="str">
        <f t="shared" si="1"/>
        <v>3006h</v>
      </c>
      <c r="I7" s="29" t="s">
        <v>181</v>
      </c>
      <c r="J7" s="29" t="s">
        <v>173</v>
      </c>
      <c r="L7" s="29" t="str">
        <f t="shared" si="2"/>
        <v>6006h</v>
      </c>
      <c r="M7" s="29" t="s">
        <v>196</v>
      </c>
    </row>
    <row r="8" spans="1:13" x14ac:dyDescent="0.3">
      <c r="D8" s="29" t="str">
        <f t="shared" si="0"/>
        <v>1007h</v>
      </c>
      <c r="E8" s="29" t="s">
        <v>90</v>
      </c>
      <c r="H8" s="29" t="str">
        <f t="shared" si="1"/>
        <v>3007h</v>
      </c>
      <c r="I8" s="29" t="s">
        <v>182</v>
      </c>
      <c r="J8" s="40" t="s">
        <v>183</v>
      </c>
      <c r="L8" s="29" t="str">
        <f t="shared" si="2"/>
        <v>6007h</v>
      </c>
      <c r="M8" s="29" t="s">
        <v>197</v>
      </c>
    </row>
    <row r="9" spans="1:13" x14ac:dyDescent="0.3">
      <c r="A9" s="29" t="s">
        <v>165</v>
      </c>
      <c r="B9" s="29" t="s">
        <v>205</v>
      </c>
      <c r="D9" s="29" t="str">
        <f t="shared" si="0"/>
        <v>1008h</v>
      </c>
      <c r="E9" s="29" t="s">
        <v>131</v>
      </c>
      <c r="F9" s="29" t="s">
        <v>97</v>
      </c>
      <c r="H9" s="29" t="str">
        <f t="shared" si="1"/>
        <v>3008h</v>
      </c>
      <c r="I9" s="29" t="s">
        <v>93</v>
      </c>
      <c r="J9" s="29" t="s">
        <v>104</v>
      </c>
      <c r="L9" s="29" t="str">
        <f t="shared" si="2"/>
        <v>6008h</v>
      </c>
      <c r="M9" s="29" t="s">
        <v>198</v>
      </c>
    </row>
    <row r="10" spans="1:13" x14ac:dyDescent="0.3">
      <c r="A10" s="29" t="s">
        <v>211</v>
      </c>
      <c r="B10" s="29" t="s">
        <v>206</v>
      </c>
      <c r="D10" s="29" t="str">
        <f t="shared" si="0"/>
        <v>1009h</v>
      </c>
      <c r="E10" s="29" t="s">
        <v>90</v>
      </c>
      <c r="F10" s="29" t="s">
        <v>99</v>
      </c>
      <c r="H10" s="29" t="str">
        <f t="shared" si="1"/>
        <v>3009h</v>
      </c>
      <c r="I10" s="29" t="s">
        <v>186</v>
      </c>
      <c r="J10" s="41" t="s">
        <v>187</v>
      </c>
      <c r="L10" s="29" t="str">
        <f t="shared" si="2"/>
        <v>6009h</v>
      </c>
      <c r="M10" s="29" t="s">
        <v>199</v>
      </c>
    </row>
    <row r="11" spans="1:13" x14ac:dyDescent="0.3">
      <c r="A11" s="29" t="s">
        <v>212</v>
      </c>
      <c r="B11" s="29" t="s">
        <v>228</v>
      </c>
      <c r="D11" s="29" t="str">
        <f t="shared" si="0"/>
        <v>100Ah</v>
      </c>
      <c r="E11" s="29" t="s">
        <v>155</v>
      </c>
      <c r="H11" s="29" t="str">
        <f t="shared" si="1"/>
        <v>300Ah</v>
      </c>
      <c r="I11" s="29" t="s">
        <v>101</v>
      </c>
      <c r="L11" s="29" t="str">
        <f t="shared" si="2"/>
        <v>600Ah</v>
      </c>
      <c r="M11" s="29" t="s">
        <v>200</v>
      </c>
    </row>
    <row r="12" spans="1:13" x14ac:dyDescent="0.3">
      <c r="A12" s="29" t="s">
        <v>215</v>
      </c>
      <c r="B12" s="29" t="s">
        <v>207</v>
      </c>
      <c r="D12" s="29" t="str">
        <f t="shared" si="0"/>
        <v>100Bh</v>
      </c>
      <c r="E12" s="29" t="s">
        <v>155</v>
      </c>
      <c r="H12" s="29" t="str">
        <f t="shared" si="1"/>
        <v>300Bh</v>
      </c>
      <c r="I12" s="29" t="s">
        <v>95</v>
      </c>
      <c r="J12" s="29" t="s">
        <v>189</v>
      </c>
      <c r="L12" s="29" t="str">
        <f t="shared" si="2"/>
        <v>600Bh</v>
      </c>
      <c r="M12" s="29" t="s">
        <v>201</v>
      </c>
    </row>
    <row r="13" spans="1:13" x14ac:dyDescent="0.3">
      <c r="A13" s="29" t="s">
        <v>216</v>
      </c>
      <c r="B13" s="29" t="s">
        <v>208</v>
      </c>
      <c r="D13" s="29" t="str">
        <f t="shared" si="0"/>
        <v>100Ch</v>
      </c>
      <c r="E13" s="29" t="s">
        <v>147</v>
      </c>
      <c r="F13" s="29" t="s">
        <v>156</v>
      </c>
      <c r="L13" s="29" t="str">
        <f t="shared" si="2"/>
        <v>600Ch</v>
      </c>
      <c r="M13" s="29" t="s">
        <v>202</v>
      </c>
    </row>
    <row r="14" spans="1:13" x14ac:dyDescent="0.3">
      <c r="A14" s="29" t="s">
        <v>217</v>
      </c>
      <c r="B14" s="29" t="s">
        <v>219</v>
      </c>
      <c r="D14" s="29" t="str">
        <f t="shared" si="0"/>
        <v>100Dh</v>
      </c>
      <c r="E14" s="29" t="s">
        <v>136</v>
      </c>
      <c r="L14" s="29" t="str">
        <f t="shared" si="2"/>
        <v>600Dh</v>
      </c>
      <c r="M14" s="29" t="s">
        <v>130</v>
      </c>
    </row>
    <row r="15" spans="1:13" x14ac:dyDescent="0.3">
      <c r="A15" s="29" t="s">
        <v>226</v>
      </c>
      <c r="B15" s="29" t="s">
        <v>230</v>
      </c>
      <c r="D15" s="29" t="str">
        <f t="shared" si="0"/>
        <v>100Eh</v>
      </c>
      <c r="E15" s="29" t="s">
        <v>94</v>
      </c>
      <c r="L15" s="29" t="str">
        <f t="shared" si="2"/>
        <v>600Eh</v>
      </c>
      <c r="M15" s="29" t="s">
        <v>91</v>
      </c>
    </row>
    <row r="16" spans="1:13" x14ac:dyDescent="0.3">
      <c r="A16" s="29" t="s">
        <v>227</v>
      </c>
      <c r="B16" s="29" t="s">
        <v>223</v>
      </c>
      <c r="L16" s="29" t="str">
        <f t="shared" si="2"/>
        <v>600Fh</v>
      </c>
      <c r="M16" s="29" t="s">
        <v>203</v>
      </c>
    </row>
    <row r="17" spans="1:13" x14ac:dyDescent="0.3">
      <c r="D17" s="29" t="s">
        <v>157</v>
      </c>
      <c r="E17" s="29" t="s">
        <v>160</v>
      </c>
      <c r="F17" s="29" t="s">
        <v>110</v>
      </c>
      <c r="L17" s="29" t="str">
        <f t="shared" si="2"/>
        <v>6010h</v>
      </c>
      <c r="M17" s="29" t="s">
        <v>204</v>
      </c>
    </row>
    <row r="18" spans="1:13" x14ac:dyDescent="0.3">
      <c r="A18" s="29" t="s">
        <v>224</v>
      </c>
      <c r="B18" s="29" t="s">
        <v>108</v>
      </c>
      <c r="D18" s="29" t="str">
        <f t="shared" si="0"/>
        <v>1021h</v>
      </c>
      <c r="E18" s="29" t="s">
        <v>94</v>
      </c>
      <c r="F18" s="29" t="s">
        <v>106</v>
      </c>
    </row>
    <row r="19" spans="1:13" x14ac:dyDescent="0.3">
      <c r="D19" s="29" t="str">
        <f t="shared" si="0"/>
        <v>1022h</v>
      </c>
      <c r="E19" s="29" t="s">
        <v>131</v>
      </c>
    </row>
    <row r="20" spans="1:13" x14ac:dyDescent="0.3">
      <c r="D20" s="29" t="str">
        <f t="shared" si="0"/>
        <v>1023h</v>
      </c>
      <c r="E20" s="29" t="s">
        <v>90</v>
      </c>
    </row>
    <row r="21" spans="1:13" x14ac:dyDescent="0.3">
      <c r="A21" s="29" t="s">
        <v>170</v>
      </c>
      <c r="B21" s="29" t="s">
        <v>174</v>
      </c>
      <c r="D21" s="29" t="str">
        <f t="shared" si="0"/>
        <v>1024h</v>
      </c>
      <c r="E21" s="29" t="s">
        <v>161</v>
      </c>
      <c r="F21" s="29" t="s">
        <v>162</v>
      </c>
    </row>
    <row r="22" spans="1:13" x14ac:dyDescent="0.3">
      <c r="A22" s="29" t="s">
        <v>176</v>
      </c>
      <c r="B22" s="29" t="s">
        <v>177</v>
      </c>
      <c r="D22" s="29" t="str">
        <f t="shared" si="0"/>
        <v>1025h</v>
      </c>
      <c r="E22" s="29" t="s">
        <v>164</v>
      </c>
    </row>
    <row r="23" spans="1:13" x14ac:dyDescent="0.3">
      <c r="A23" s="29" t="s">
        <v>180</v>
      </c>
      <c r="B23" s="29" t="s">
        <v>225</v>
      </c>
    </row>
    <row r="24" spans="1:13" x14ac:dyDescent="0.3">
      <c r="A24" s="29" t="s">
        <v>184</v>
      </c>
      <c r="B24" s="29" t="s">
        <v>185</v>
      </c>
      <c r="D24" s="29" t="s">
        <v>165</v>
      </c>
      <c r="E24" s="29" t="s">
        <v>131</v>
      </c>
      <c r="F24" s="29" t="s">
        <v>97</v>
      </c>
    </row>
    <row r="25" spans="1:13" x14ac:dyDescent="0.3">
      <c r="A25" s="29" t="s">
        <v>188</v>
      </c>
      <c r="B25" s="29" t="s">
        <v>189</v>
      </c>
      <c r="D25" s="29" t="str">
        <f t="shared" si="0"/>
        <v>1041h</v>
      </c>
      <c r="E25" s="29" t="s">
        <v>90</v>
      </c>
      <c r="F25" s="29" t="s">
        <v>99</v>
      </c>
    </row>
    <row r="26" spans="1:13" x14ac:dyDescent="0.3">
      <c r="D26" s="29" t="str">
        <f t="shared" si="0"/>
        <v>1042h</v>
      </c>
      <c r="E26" s="29" t="s">
        <v>209</v>
      </c>
    </row>
    <row r="27" spans="1:13" x14ac:dyDescent="0.3">
      <c r="D27" s="29" t="str">
        <f t="shared" si="0"/>
        <v>1043h</v>
      </c>
      <c r="E27" s="29" t="s">
        <v>155</v>
      </c>
    </row>
    <row r="28" spans="1:13" x14ac:dyDescent="0.3">
      <c r="D28" s="29" t="str">
        <f t="shared" si="0"/>
        <v>1044h</v>
      </c>
      <c r="E28" s="29" t="s">
        <v>93</v>
      </c>
      <c r="F28" s="29" t="s">
        <v>104</v>
      </c>
    </row>
    <row r="29" spans="1:13" x14ac:dyDescent="0.3">
      <c r="D29" s="29" t="str">
        <f t="shared" si="0"/>
        <v>1045h</v>
      </c>
      <c r="E29" s="29" t="s">
        <v>94</v>
      </c>
      <c r="F29" s="29" t="s">
        <v>106</v>
      </c>
    </row>
    <row r="30" spans="1:13" x14ac:dyDescent="0.3">
      <c r="D30" s="29" t="str">
        <f t="shared" si="0"/>
        <v>1046h</v>
      </c>
      <c r="E30" s="29" t="s">
        <v>210</v>
      </c>
    </row>
    <row r="31" spans="1:13" x14ac:dyDescent="0.3">
      <c r="D31" s="29" t="str">
        <f t="shared" si="0"/>
        <v>1047h</v>
      </c>
      <c r="E31" s="29" t="s">
        <v>90</v>
      </c>
    </row>
    <row r="32" spans="1:13" x14ac:dyDescent="0.3">
      <c r="D32" s="29" t="str">
        <f t="shared" si="0"/>
        <v>1048h</v>
      </c>
      <c r="E32" s="29" t="s">
        <v>131</v>
      </c>
      <c r="F32" s="29" t="s">
        <v>97</v>
      </c>
    </row>
    <row r="33" spans="4:6" x14ac:dyDescent="0.3">
      <c r="D33" s="29" t="str">
        <f t="shared" si="0"/>
        <v>1049h</v>
      </c>
      <c r="E33" s="29" t="s">
        <v>90</v>
      </c>
      <c r="F33" s="29" t="s">
        <v>99</v>
      </c>
    </row>
    <row r="34" spans="4:6" x14ac:dyDescent="0.3">
      <c r="D34" s="29" t="str">
        <f t="shared" si="0"/>
        <v>104Ah</v>
      </c>
      <c r="E34" s="29" t="s">
        <v>229</v>
      </c>
    </row>
    <row r="35" spans="4:6" x14ac:dyDescent="0.3">
      <c r="D35" s="29" t="str">
        <f t="shared" si="0"/>
        <v>104Bh</v>
      </c>
      <c r="E35" s="29" t="s">
        <v>90</v>
      </c>
    </row>
    <row r="36" spans="4:6" x14ac:dyDescent="0.3">
      <c r="D36" s="29" t="str">
        <f t="shared" si="0"/>
        <v>104Ch</v>
      </c>
      <c r="E36" s="29" t="s">
        <v>93</v>
      </c>
      <c r="F36" s="29" t="s">
        <v>104</v>
      </c>
    </row>
    <row r="37" spans="4:6" x14ac:dyDescent="0.3">
      <c r="D37" s="29" t="str">
        <f t="shared" si="0"/>
        <v>104Dh</v>
      </c>
      <c r="E37" s="29" t="s">
        <v>213</v>
      </c>
      <c r="F37" s="29" t="s">
        <v>214</v>
      </c>
    </row>
    <row r="38" spans="4:6" x14ac:dyDescent="0.3">
      <c r="D38" s="29" t="str">
        <f t="shared" si="0"/>
        <v>104Eh</v>
      </c>
      <c r="E38" s="29" t="s">
        <v>171</v>
      </c>
      <c r="F38" s="29" t="s">
        <v>172</v>
      </c>
    </row>
    <row r="39" spans="4:6" x14ac:dyDescent="0.3">
      <c r="D39" s="29" t="str">
        <f t="shared" si="0"/>
        <v>104Fh</v>
      </c>
      <c r="E39" s="29" t="s">
        <v>94</v>
      </c>
      <c r="F39" s="29" t="s">
        <v>106</v>
      </c>
    </row>
    <row r="40" spans="4:6" x14ac:dyDescent="0.3">
      <c r="D40" s="29" t="str">
        <f t="shared" si="0"/>
        <v>1050h</v>
      </c>
      <c r="E40" s="29" t="s">
        <v>90</v>
      </c>
    </row>
    <row r="41" spans="4:6" x14ac:dyDescent="0.3">
      <c r="D41" s="29" t="str">
        <f t="shared" si="0"/>
        <v>1051h</v>
      </c>
      <c r="E41" s="29" t="s">
        <v>131</v>
      </c>
    </row>
    <row r="42" spans="4:6" x14ac:dyDescent="0.3">
      <c r="D42" s="29" t="str">
        <f t="shared" si="0"/>
        <v>1052h</v>
      </c>
      <c r="E42" s="29" t="s">
        <v>131</v>
      </c>
      <c r="F42" s="29" t="s">
        <v>97</v>
      </c>
    </row>
    <row r="43" spans="4:6" x14ac:dyDescent="0.3">
      <c r="D43" s="29" t="str">
        <f t="shared" si="0"/>
        <v>1053h</v>
      </c>
      <c r="E43" s="29" t="s">
        <v>186</v>
      </c>
      <c r="F43" s="41" t="s">
        <v>187</v>
      </c>
    </row>
    <row r="44" spans="4:6" x14ac:dyDescent="0.3">
      <c r="D44" s="29" t="str">
        <f t="shared" si="0"/>
        <v>1054h</v>
      </c>
      <c r="E44" s="29" t="s">
        <v>101</v>
      </c>
    </row>
    <row r="45" spans="4:6" x14ac:dyDescent="0.3">
      <c r="D45" s="29" t="str">
        <f t="shared" si="0"/>
        <v>1055h</v>
      </c>
      <c r="E45" s="29" t="s">
        <v>220</v>
      </c>
      <c r="F45" s="29" t="s">
        <v>218</v>
      </c>
    </row>
    <row r="46" spans="4:6" x14ac:dyDescent="0.3">
      <c r="D46" s="29" t="str">
        <f t="shared" si="0"/>
        <v>1056h</v>
      </c>
      <c r="E46" s="29" t="s">
        <v>221</v>
      </c>
      <c r="F46" s="29" t="s">
        <v>222</v>
      </c>
    </row>
    <row r="47" spans="4:6" x14ac:dyDescent="0.3">
      <c r="D47" s="29" t="str">
        <f t="shared" si="0"/>
        <v>1057h</v>
      </c>
      <c r="E47" s="29" t="s">
        <v>92</v>
      </c>
      <c r="F47" s="29" t="s">
        <v>111</v>
      </c>
    </row>
    <row r="48" spans="4:6" x14ac:dyDescent="0.3">
      <c r="D48" s="29" t="str">
        <f t="shared" si="0"/>
        <v>1058h</v>
      </c>
      <c r="E48" s="29" t="s">
        <v>90</v>
      </c>
    </row>
    <row r="49" spans="4:6" x14ac:dyDescent="0.3">
      <c r="D49" s="29" t="str">
        <f t="shared" si="0"/>
        <v>1059h</v>
      </c>
      <c r="E49" s="29" t="s">
        <v>136</v>
      </c>
    </row>
    <row r="51" spans="4:6" x14ac:dyDescent="0.3">
      <c r="D51" s="29" t="s">
        <v>224</v>
      </c>
      <c r="E51" s="29" t="s">
        <v>90</v>
      </c>
      <c r="F51" s="29" t="s">
        <v>108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30FC-0580-4AD7-A13A-B578B69F3988}">
  <dimension ref="A1:S24"/>
  <sheetViews>
    <sheetView workbookViewId="0"/>
  </sheetViews>
  <sheetFormatPr defaultRowHeight="14.4" x14ac:dyDescent="0.3"/>
  <cols>
    <col min="1" max="1" width="8.88671875" style="29"/>
    <col min="2" max="2" width="13.33203125" style="29" customWidth="1"/>
    <col min="3" max="16384" width="8.88671875" style="29"/>
  </cols>
  <sheetData>
    <row r="1" spans="1:19" x14ac:dyDescent="0.3">
      <c r="A1" s="29" t="s">
        <v>89</v>
      </c>
      <c r="B1" s="29" t="s">
        <v>231</v>
      </c>
      <c r="E1" s="29" t="s">
        <v>89</v>
      </c>
      <c r="F1" s="29" t="s">
        <v>131</v>
      </c>
      <c r="G1" s="29" t="s">
        <v>97</v>
      </c>
      <c r="I1" s="29" t="s">
        <v>33</v>
      </c>
      <c r="J1" s="29" t="s">
        <v>90</v>
      </c>
      <c r="K1" s="29" t="s">
        <v>243</v>
      </c>
      <c r="M1" s="29" t="s">
        <v>224</v>
      </c>
      <c r="N1" s="29" t="s">
        <v>128</v>
      </c>
      <c r="O1" s="29" t="s">
        <v>115</v>
      </c>
      <c r="Q1" s="29" t="s">
        <v>259</v>
      </c>
      <c r="R1" s="29" t="s">
        <v>136</v>
      </c>
      <c r="S1" s="29" t="s">
        <v>137</v>
      </c>
    </row>
    <row r="2" spans="1:19" x14ac:dyDescent="0.3">
      <c r="A2" s="29" t="s">
        <v>166</v>
      </c>
      <c r="B2" s="29" t="s">
        <v>232</v>
      </c>
      <c r="C2" s="29" t="s">
        <v>237</v>
      </c>
      <c r="E2" s="29" t="str">
        <f>DEC2HEX(HEX2DEC(LEFT(E1,LEN(E1)-1))+1)&amp;"h"</f>
        <v>1001h</v>
      </c>
      <c r="F2" s="29" t="s">
        <v>90</v>
      </c>
      <c r="G2" s="29" t="s">
        <v>99</v>
      </c>
      <c r="I2" s="29" t="str">
        <f>DEC2HEX(HEX2DEC(LEFT(I1,LEN(I1)-1))+1)&amp;"h"</f>
        <v>1h</v>
      </c>
      <c r="J2" s="29" t="s">
        <v>255</v>
      </c>
      <c r="M2" s="29" t="str">
        <f>DEC2HEX(HEX2DEC(LEFT(M1,LEN(M1)-1))+1)&amp;"h"</f>
        <v>2001h</v>
      </c>
      <c r="N2" s="29" t="s">
        <v>131</v>
      </c>
      <c r="O2" s="29" t="s">
        <v>97</v>
      </c>
      <c r="Q2" s="29" t="str">
        <f>DEC2HEX(HEX2DEC(LEFT(Q1,LEN(Q1)-1))+1)&amp;"h"</f>
        <v>701h</v>
      </c>
      <c r="R2" s="29" t="s">
        <v>90</v>
      </c>
    </row>
    <row r="3" spans="1:19" x14ac:dyDescent="0.3">
      <c r="A3" s="29" t="s">
        <v>167</v>
      </c>
      <c r="B3" s="29" t="s">
        <v>205</v>
      </c>
      <c r="E3" s="29" t="str">
        <f t="shared" ref="E3:E20" si="0">DEC2HEX(HEX2DEC(LEFT(E2,LEN(E2)-1))+1)&amp;"h"</f>
        <v>1002h</v>
      </c>
      <c r="F3" s="29" t="s">
        <v>148</v>
      </c>
      <c r="I3" s="29" t="str">
        <f t="shared" ref="I3:I16" si="1">DEC2HEX(HEX2DEC(LEFT(I2,LEN(I2)-1))+1)&amp;"h"</f>
        <v>2h</v>
      </c>
      <c r="J3" s="29" t="s">
        <v>129</v>
      </c>
      <c r="K3" s="29" t="s">
        <v>244</v>
      </c>
      <c r="M3" s="29" t="str">
        <f t="shared" ref="M3:M15" si="2">DEC2HEX(HEX2DEC(LEFT(M2,LEN(M2)-1))+1)&amp;"h"</f>
        <v>2002h</v>
      </c>
      <c r="N3" s="29" t="s">
        <v>94</v>
      </c>
      <c r="O3" s="29" t="s">
        <v>106</v>
      </c>
      <c r="Q3" s="29" t="str">
        <f t="shared" ref="Q3:Q24" si="3">DEC2HEX(HEX2DEC(LEFT(Q2,LEN(Q2)-1))+1)&amp;"h"</f>
        <v>702h</v>
      </c>
      <c r="R3" s="29" t="s">
        <v>136</v>
      </c>
    </row>
    <row r="4" spans="1:19" x14ac:dyDescent="0.3">
      <c r="A4" s="29" t="s">
        <v>168</v>
      </c>
      <c r="B4" s="29" t="s">
        <v>233</v>
      </c>
      <c r="E4" s="29" t="str">
        <f t="shared" si="0"/>
        <v>1003h</v>
      </c>
      <c r="F4" s="29" t="s">
        <v>90</v>
      </c>
      <c r="I4" s="29" t="str">
        <f t="shared" si="1"/>
        <v>3h</v>
      </c>
      <c r="J4" s="29" t="s">
        <v>255</v>
      </c>
      <c r="M4" s="29" t="str">
        <f t="shared" si="2"/>
        <v>2003h</v>
      </c>
      <c r="N4" s="29" t="s">
        <v>90</v>
      </c>
      <c r="Q4" s="29" t="str">
        <f t="shared" si="3"/>
        <v>703h</v>
      </c>
      <c r="R4" s="29" t="s">
        <v>136</v>
      </c>
      <c r="S4" s="29" t="s">
        <v>137</v>
      </c>
    </row>
    <row r="5" spans="1:19" x14ac:dyDescent="0.3">
      <c r="A5" s="29" t="s">
        <v>240</v>
      </c>
      <c r="B5" s="29" t="s">
        <v>239</v>
      </c>
      <c r="C5" s="29" t="s">
        <v>234</v>
      </c>
      <c r="E5" s="29" t="str">
        <f t="shared" si="0"/>
        <v>1004h</v>
      </c>
      <c r="F5" s="29" t="s">
        <v>93</v>
      </c>
      <c r="G5" s="29" t="s">
        <v>104</v>
      </c>
      <c r="I5" s="29" t="str">
        <f t="shared" si="1"/>
        <v>4h</v>
      </c>
      <c r="J5" s="29" t="s">
        <v>130</v>
      </c>
      <c r="K5" s="29" t="s">
        <v>236</v>
      </c>
      <c r="M5" s="29" t="str">
        <f t="shared" si="2"/>
        <v>2004h</v>
      </c>
      <c r="N5" s="29" t="s">
        <v>134</v>
      </c>
      <c r="Q5" s="29" t="str">
        <f t="shared" si="3"/>
        <v>704h</v>
      </c>
      <c r="R5" s="29" t="s">
        <v>90</v>
      </c>
    </row>
    <row r="6" spans="1:19" x14ac:dyDescent="0.3">
      <c r="A6" s="29" t="s">
        <v>241</v>
      </c>
      <c r="B6" s="29" t="s">
        <v>117</v>
      </c>
      <c r="E6" s="29" t="str">
        <f t="shared" si="0"/>
        <v>1005h</v>
      </c>
      <c r="F6" s="29" t="s">
        <v>94</v>
      </c>
      <c r="G6" s="29" t="s">
        <v>106</v>
      </c>
      <c r="I6" s="29" t="str">
        <f t="shared" si="1"/>
        <v>5h</v>
      </c>
      <c r="J6" s="29" t="s">
        <v>255</v>
      </c>
      <c r="M6" s="29" t="str">
        <f t="shared" si="2"/>
        <v>2005h</v>
      </c>
      <c r="N6" s="29" t="s">
        <v>160</v>
      </c>
      <c r="O6" s="29" t="s">
        <v>110</v>
      </c>
      <c r="Q6" s="29" t="str">
        <f t="shared" si="3"/>
        <v>705h</v>
      </c>
      <c r="R6" s="29" t="s">
        <v>136</v>
      </c>
    </row>
    <row r="7" spans="1:19" x14ac:dyDescent="0.3">
      <c r="A7" s="29" t="s">
        <v>242</v>
      </c>
      <c r="B7" s="29" t="s">
        <v>108</v>
      </c>
      <c r="E7" s="29" t="str">
        <f t="shared" si="0"/>
        <v>1006h</v>
      </c>
      <c r="F7" s="29" t="s">
        <v>90</v>
      </c>
      <c r="I7" s="29" t="str">
        <f t="shared" si="1"/>
        <v>6h</v>
      </c>
      <c r="J7" s="29" t="s">
        <v>112</v>
      </c>
      <c r="K7" s="29" t="s">
        <v>235</v>
      </c>
      <c r="M7" s="29" t="str">
        <f t="shared" si="2"/>
        <v>2006h</v>
      </c>
      <c r="N7" s="29" t="s">
        <v>90</v>
      </c>
      <c r="O7" s="29" t="s">
        <v>99</v>
      </c>
      <c r="Q7" s="29" t="str">
        <f t="shared" si="3"/>
        <v>706h</v>
      </c>
      <c r="R7" s="29" t="s">
        <v>136</v>
      </c>
      <c r="S7" s="29" t="s">
        <v>137</v>
      </c>
    </row>
    <row r="8" spans="1:19" x14ac:dyDescent="0.3">
      <c r="E8" s="29" t="str">
        <f t="shared" si="0"/>
        <v>1007h</v>
      </c>
      <c r="F8" s="29" t="s">
        <v>238</v>
      </c>
      <c r="I8" s="29" t="str">
        <f t="shared" si="1"/>
        <v>7h</v>
      </c>
      <c r="J8" s="29" t="s">
        <v>255</v>
      </c>
      <c r="M8" s="29" t="str">
        <f t="shared" si="2"/>
        <v>2007h</v>
      </c>
      <c r="N8" s="29" t="s">
        <v>95</v>
      </c>
      <c r="Q8" s="29" t="str">
        <f t="shared" si="3"/>
        <v>707h</v>
      </c>
      <c r="R8" s="29" t="s">
        <v>90</v>
      </c>
    </row>
    <row r="9" spans="1:19" x14ac:dyDescent="0.3">
      <c r="A9" s="29" t="s">
        <v>224</v>
      </c>
      <c r="B9" s="29" t="s">
        <v>115</v>
      </c>
      <c r="E9" s="29" t="str">
        <f t="shared" si="0"/>
        <v>1008h</v>
      </c>
      <c r="F9" s="29" t="s">
        <v>131</v>
      </c>
      <c r="G9" s="29" t="s">
        <v>97</v>
      </c>
      <c r="I9" s="29" t="str">
        <f t="shared" si="1"/>
        <v>8h</v>
      </c>
      <c r="J9" s="29" t="s">
        <v>260</v>
      </c>
      <c r="K9" s="29" t="s">
        <v>234</v>
      </c>
      <c r="M9" s="29" t="str">
        <f t="shared" si="2"/>
        <v>2008h</v>
      </c>
      <c r="N9" s="29" t="s">
        <v>90</v>
      </c>
      <c r="Q9" s="29" t="str">
        <f t="shared" si="3"/>
        <v>708h</v>
      </c>
      <c r="R9" s="29" t="s">
        <v>136</v>
      </c>
    </row>
    <row r="10" spans="1:19" x14ac:dyDescent="0.3">
      <c r="A10" s="29" t="s">
        <v>252</v>
      </c>
      <c r="B10" s="29" t="s">
        <v>247</v>
      </c>
      <c r="C10" s="41" t="s">
        <v>286</v>
      </c>
      <c r="E10" s="29" t="str">
        <f t="shared" si="0"/>
        <v>1009h</v>
      </c>
      <c r="F10" s="29" t="s">
        <v>90</v>
      </c>
      <c r="G10" s="29" t="s">
        <v>99</v>
      </c>
      <c r="I10" s="29" t="str">
        <f t="shared" si="1"/>
        <v>9h</v>
      </c>
      <c r="J10" s="29" t="s">
        <v>255</v>
      </c>
      <c r="M10" s="29" t="str">
        <f t="shared" si="2"/>
        <v>2009h</v>
      </c>
      <c r="N10" s="29" t="s">
        <v>93</v>
      </c>
      <c r="O10" s="29" t="s">
        <v>104</v>
      </c>
      <c r="Q10" s="29" t="str">
        <f t="shared" si="3"/>
        <v>709h</v>
      </c>
      <c r="R10" s="29" t="s">
        <v>136</v>
      </c>
      <c r="S10" s="29" t="s">
        <v>137</v>
      </c>
    </row>
    <row r="11" spans="1:19" x14ac:dyDescent="0.3">
      <c r="A11" s="29" t="s">
        <v>253</v>
      </c>
      <c r="B11" s="29" t="s">
        <v>248</v>
      </c>
      <c r="E11" s="29" t="str">
        <f t="shared" si="0"/>
        <v>100Ah</v>
      </c>
      <c r="F11" s="29" t="s">
        <v>209</v>
      </c>
      <c r="I11" s="29" t="str">
        <f t="shared" si="1"/>
        <v>Ah</v>
      </c>
      <c r="J11" s="29" t="s">
        <v>261</v>
      </c>
      <c r="K11" s="29" t="s">
        <v>245</v>
      </c>
      <c r="M11" s="29" t="str">
        <f t="shared" si="2"/>
        <v>200Ah</v>
      </c>
      <c r="N11" s="29" t="s">
        <v>94</v>
      </c>
      <c r="O11" s="29" t="s">
        <v>106</v>
      </c>
      <c r="Q11" s="29" t="str">
        <f t="shared" si="3"/>
        <v>70Ah</v>
      </c>
      <c r="R11" s="29" t="s">
        <v>90</v>
      </c>
    </row>
    <row r="12" spans="1:19" x14ac:dyDescent="0.3">
      <c r="A12" s="29" t="s">
        <v>254</v>
      </c>
      <c r="B12" s="29" t="s">
        <v>249</v>
      </c>
      <c r="E12" s="29" t="str">
        <f t="shared" si="0"/>
        <v>100Bh</v>
      </c>
      <c r="F12" s="29" t="s">
        <v>155</v>
      </c>
      <c r="I12" s="29" t="str">
        <f t="shared" si="1"/>
        <v>Bh</v>
      </c>
      <c r="J12" s="29" t="s">
        <v>255</v>
      </c>
      <c r="M12" s="29" t="str">
        <f t="shared" si="2"/>
        <v>200Bh</v>
      </c>
      <c r="N12" s="29" t="s">
        <v>90</v>
      </c>
      <c r="Q12" s="29" t="str">
        <f t="shared" si="3"/>
        <v>70Bh</v>
      </c>
      <c r="R12" s="29" t="s">
        <v>136</v>
      </c>
    </row>
    <row r="13" spans="1:19" x14ac:dyDescent="0.3">
      <c r="A13" s="29" t="s">
        <v>256</v>
      </c>
      <c r="B13" s="29" t="s">
        <v>250</v>
      </c>
      <c r="E13" s="29" t="str">
        <f t="shared" si="0"/>
        <v>100Ch</v>
      </c>
      <c r="F13" s="29" t="s">
        <v>220</v>
      </c>
      <c r="G13" s="29" t="s">
        <v>218</v>
      </c>
      <c r="I13" s="29" t="str">
        <f t="shared" si="1"/>
        <v>Ch</v>
      </c>
      <c r="J13" s="29" t="s">
        <v>161</v>
      </c>
      <c r="K13" s="29" t="s">
        <v>246</v>
      </c>
      <c r="M13" s="29" t="str">
        <f t="shared" si="2"/>
        <v>200Ch</v>
      </c>
      <c r="N13" s="29" t="s">
        <v>134</v>
      </c>
      <c r="Q13" s="29" t="str">
        <f t="shared" si="3"/>
        <v>70Ch</v>
      </c>
      <c r="R13" s="29" t="s">
        <v>136</v>
      </c>
      <c r="S13" s="29" t="s">
        <v>137</v>
      </c>
    </row>
    <row r="14" spans="1:19" x14ac:dyDescent="0.3">
      <c r="A14" s="29" t="s">
        <v>257</v>
      </c>
      <c r="B14" s="29" t="s">
        <v>251</v>
      </c>
      <c r="E14" s="29" t="str">
        <f t="shared" si="0"/>
        <v>100Dh</v>
      </c>
      <c r="F14" s="29" t="s">
        <v>94</v>
      </c>
      <c r="G14" s="29" t="s">
        <v>106</v>
      </c>
      <c r="I14" s="29" t="str">
        <f t="shared" si="1"/>
        <v>Dh</v>
      </c>
      <c r="J14" s="29" t="s">
        <v>255</v>
      </c>
      <c r="M14" s="29" t="str">
        <f t="shared" si="2"/>
        <v>200Dh</v>
      </c>
      <c r="N14" s="29" t="s">
        <v>255</v>
      </c>
      <c r="O14" s="29" t="s">
        <v>250</v>
      </c>
      <c r="Q14" s="29" t="str">
        <f t="shared" si="3"/>
        <v>70Dh</v>
      </c>
      <c r="R14" s="29" t="s">
        <v>90</v>
      </c>
    </row>
    <row r="15" spans="1:19" x14ac:dyDescent="0.3">
      <c r="E15" s="29" t="str">
        <f t="shared" si="0"/>
        <v>100Eh</v>
      </c>
      <c r="F15" s="29" t="s">
        <v>90</v>
      </c>
      <c r="I15" s="29" t="str">
        <f t="shared" si="1"/>
        <v>Eh</v>
      </c>
      <c r="J15" s="29" t="s">
        <v>262</v>
      </c>
      <c r="K15" s="29" t="s">
        <v>237</v>
      </c>
      <c r="M15" s="29" t="str">
        <f t="shared" si="2"/>
        <v>200Eh</v>
      </c>
      <c r="N15" s="29" t="s">
        <v>238</v>
      </c>
      <c r="O15" s="29" t="s">
        <v>251</v>
      </c>
      <c r="Q15" s="29" t="str">
        <f t="shared" si="3"/>
        <v>70Eh</v>
      </c>
      <c r="R15" s="29" t="s">
        <v>136</v>
      </c>
    </row>
    <row r="16" spans="1:19" x14ac:dyDescent="0.3">
      <c r="A16" s="29" t="s">
        <v>258</v>
      </c>
      <c r="B16" s="29" t="s">
        <v>263</v>
      </c>
      <c r="C16" s="29" t="s">
        <v>278</v>
      </c>
      <c r="E16" s="29" t="str">
        <f t="shared" si="0"/>
        <v>100Fh</v>
      </c>
      <c r="F16" s="29" t="s">
        <v>238</v>
      </c>
      <c r="I16" s="29" t="str">
        <f t="shared" si="1"/>
        <v>Fh</v>
      </c>
      <c r="J16" s="29" t="s">
        <v>255</v>
      </c>
      <c r="Q16" s="29" t="str">
        <f t="shared" si="3"/>
        <v>70Fh</v>
      </c>
      <c r="R16" s="29" t="s">
        <v>136</v>
      </c>
      <c r="S16" s="29" t="s">
        <v>137</v>
      </c>
    </row>
    <row r="17" spans="1:19" x14ac:dyDescent="0.3">
      <c r="A17" s="29" t="s">
        <v>271</v>
      </c>
      <c r="B17" s="29" t="s">
        <v>264</v>
      </c>
      <c r="C17" s="29" t="s">
        <v>279</v>
      </c>
      <c r="E17" s="29" t="str">
        <f t="shared" si="0"/>
        <v>1010h</v>
      </c>
      <c r="F17" s="29" t="s">
        <v>148</v>
      </c>
      <c r="G17" s="29" t="s">
        <v>146</v>
      </c>
      <c r="Q17" s="29" t="str">
        <f t="shared" si="3"/>
        <v>710h</v>
      </c>
      <c r="R17" s="29" t="s">
        <v>90</v>
      </c>
    </row>
    <row r="18" spans="1:19" x14ac:dyDescent="0.3">
      <c r="A18" s="29" t="s">
        <v>272</v>
      </c>
      <c r="B18" s="29" t="s">
        <v>265</v>
      </c>
      <c r="C18" s="29" t="s">
        <v>280</v>
      </c>
      <c r="E18" s="29" t="str">
        <f t="shared" si="0"/>
        <v>1011h</v>
      </c>
      <c r="F18" s="29" t="s">
        <v>132</v>
      </c>
      <c r="Q18" s="29" t="str">
        <f t="shared" si="3"/>
        <v>711h</v>
      </c>
      <c r="R18" s="29" t="s">
        <v>136</v>
      </c>
    </row>
    <row r="19" spans="1:19" x14ac:dyDescent="0.3">
      <c r="A19" s="29" t="s">
        <v>273</v>
      </c>
      <c r="B19" s="29" t="s">
        <v>266</v>
      </c>
      <c r="C19" s="29" t="s">
        <v>281</v>
      </c>
      <c r="E19" s="29" t="str">
        <f t="shared" si="0"/>
        <v>1012h</v>
      </c>
      <c r="F19" s="29" t="s">
        <v>130</v>
      </c>
      <c r="G19" s="29" t="s">
        <v>117</v>
      </c>
      <c r="Q19" s="29" t="str">
        <f t="shared" si="3"/>
        <v>712h</v>
      </c>
      <c r="R19" s="29" t="s">
        <v>136</v>
      </c>
      <c r="S19" s="29" t="s">
        <v>137</v>
      </c>
    </row>
    <row r="20" spans="1:19" x14ac:dyDescent="0.3">
      <c r="A20" s="29" t="s">
        <v>275</v>
      </c>
      <c r="B20" s="29" t="s">
        <v>267</v>
      </c>
      <c r="C20" s="29" t="s">
        <v>282</v>
      </c>
      <c r="E20" s="29" t="str">
        <f t="shared" si="0"/>
        <v>1013h</v>
      </c>
      <c r="F20" s="29" t="s">
        <v>90</v>
      </c>
      <c r="G20" s="29" t="s">
        <v>108</v>
      </c>
      <c r="Q20" s="29" t="str">
        <f t="shared" si="3"/>
        <v>713h</v>
      </c>
      <c r="R20" s="29" t="s">
        <v>90</v>
      </c>
    </row>
    <row r="21" spans="1:19" x14ac:dyDescent="0.3">
      <c r="A21" s="29" t="s">
        <v>274</v>
      </c>
      <c r="B21" s="29" t="s">
        <v>268</v>
      </c>
      <c r="C21" s="29" t="s">
        <v>283</v>
      </c>
      <c r="Q21" s="29" t="str">
        <f t="shared" si="3"/>
        <v>714h</v>
      </c>
      <c r="R21" s="29" t="s">
        <v>136</v>
      </c>
    </row>
    <row r="22" spans="1:19" x14ac:dyDescent="0.3">
      <c r="A22" s="29" t="s">
        <v>276</v>
      </c>
      <c r="B22" s="29" t="s">
        <v>269</v>
      </c>
      <c r="C22" s="29" t="s">
        <v>284</v>
      </c>
      <c r="Q22" s="29" t="str">
        <f t="shared" si="3"/>
        <v>715h</v>
      </c>
      <c r="R22" s="29" t="s">
        <v>136</v>
      </c>
      <c r="S22" s="29" t="s">
        <v>137</v>
      </c>
    </row>
    <row r="23" spans="1:19" x14ac:dyDescent="0.3">
      <c r="A23" s="29" t="s">
        <v>277</v>
      </c>
      <c r="B23" s="29" t="s">
        <v>270</v>
      </c>
      <c r="C23" s="29" t="s">
        <v>285</v>
      </c>
      <c r="Q23" s="29" t="str">
        <f t="shared" si="3"/>
        <v>716h</v>
      </c>
      <c r="R23" s="29" t="s">
        <v>90</v>
      </c>
    </row>
    <row r="24" spans="1:19" x14ac:dyDescent="0.3">
      <c r="Q24" s="29" t="str">
        <f t="shared" si="3"/>
        <v>717h</v>
      </c>
      <c r="R24" s="29" t="s">
        <v>136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8AE4-48A5-4FA5-B84F-59005EF79B82}">
  <dimension ref="A1:S24"/>
  <sheetViews>
    <sheetView tabSelected="1" workbookViewId="0"/>
  </sheetViews>
  <sheetFormatPr defaultRowHeight="14.4" x14ac:dyDescent="0.3"/>
  <cols>
    <col min="1" max="1" width="8.88671875" style="29"/>
    <col min="2" max="2" width="11.109375" style="29" customWidth="1"/>
    <col min="3" max="16384" width="8.88671875" style="29"/>
  </cols>
  <sheetData>
    <row r="1" spans="1:19" x14ac:dyDescent="0.3">
      <c r="A1" s="29" t="s">
        <v>89</v>
      </c>
      <c r="B1" s="29" t="s">
        <v>287</v>
      </c>
      <c r="E1" s="29" t="s">
        <v>89</v>
      </c>
      <c r="F1" s="29">
        <v>30</v>
      </c>
      <c r="G1" s="29" t="s">
        <v>97</v>
      </c>
      <c r="I1" s="29" t="s">
        <v>33</v>
      </c>
      <c r="J1" s="29" t="s">
        <v>90</v>
      </c>
      <c r="K1" s="29" t="s">
        <v>243</v>
      </c>
      <c r="M1" s="29" t="s">
        <v>224</v>
      </c>
      <c r="N1" s="29" t="s">
        <v>128</v>
      </c>
      <c r="O1" s="29" t="s">
        <v>115</v>
      </c>
      <c r="Q1" s="29" t="s">
        <v>259</v>
      </c>
      <c r="R1" s="29" t="s">
        <v>136</v>
      </c>
      <c r="S1" s="29" t="s">
        <v>137</v>
      </c>
    </row>
    <row r="2" spans="1:19" x14ac:dyDescent="0.3">
      <c r="A2" s="29" t="s">
        <v>166</v>
      </c>
      <c r="B2" s="29" t="s">
        <v>288</v>
      </c>
      <c r="E2" s="29" t="str">
        <f>DEC2HEX(HEX2DEC(LEFT(E1,LEN(E1)-1))+1)&amp;"h"</f>
        <v>1001h</v>
      </c>
      <c r="F2" s="29" t="s">
        <v>90</v>
      </c>
      <c r="G2" s="29" t="s">
        <v>99</v>
      </c>
      <c r="I2" s="29" t="str">
        <f>DEC2HEX(HEX2DEC(LEFT(I1,LEN(I1)-1))+1)&amp;"h"</f>
        <v>1h</v>
      </c>
      <c r="J2" s="29" t="s">
        <v>255</v>
      </c>
      <c r="M2" s="29" t="str">
        <f>DEC2HEX(HEX2DEC(LEFT(M1,LEN(M1)-1))+1)&amp;"h"</f>
        <v>2001h</v>
      </c>
      <c r="N2" s="29" t="s">
        <v>131</v>
      </c>
      <c r="O2" s="29" t="s">
        <v>97</v>
      </c>
      <c r="Q2" s="29" t="str">
        <f>DEC2HEX(HEX2DEC(LEFT(Q1,LEN(Q1)-1))+1)&amp;"h"</f>
        <v>701h</v>
      </c>
      <c r="R2" s="29" t="s">
        <v>90</v>
      </c>
    </row>
    <row r="3" spans="1:19" x14ac:dyDescent="0.3">
      <c r="A3" s="29" t="s">
        <v>167</v>
      </c>
      <c r="B3" s="29" t="s">
        <v>291</v>
      </c>
      <c r="E3" s="29" t="str">
        <f t="shared" ref="E3:E21" si="0">DEC2HEX(HEX2DEC(LEFT(E2,LEN(E2)-1))+1)&amp;"h"</f>
        <v>1002h</v>
      </c>
      <c r="F3" s="29" t="s">
        <v>155</v>
      </c>
      <c r="I3" s="29" t="str">
        <f t="shared" ref="I3:I16" si="1">DEC2HEX(HEX2DEC(LEFT(I2,LEN(I2)-1))+1)&amp;"h"</f>
        <v>2h</v>
      </c>
      <c r="J3" s="29" t="s">
        <v>129</v>
      </c>
      <c r="K3" s="29" t="s">
        <v>244</v>
      </c>
      <c r="M3" s="29" t="str">
        <f t="shared" ref="M3:M15" si="2">DEC2HEX(HEX2DEC(LEFT(M2,LEN(M2)-1))+1)&amp;"h"</f>
        <v>2002h</v>
      </c>
      <c r="N3" s="29" t="s">
        <v>94</v>
      </c>
      <c r="O3" s="29" t="s">
        <v>106</v>
      </c>
      <c r="Q3" s="29" t="str">
        <f t="shared" ref="Q3:Q24" si="3">DEC2HEX(HEX2DEC(LEFT(Q2,LEN(Q2)-1))+1)&amp;"h"</f>
        <v>702h</v>
      </c>
      <c r="R3" s="29" t="s">
        <v>136</v>
      </c>
    </row>
    <row r="4" spans="1:19" x14ac:dyDescent="0.3">
      <c r="E4" s="29" t="str">
        <f t="shared" si="0"/>
        <v>1003h</v>
      </c>
      <c r="F4" s="29" t="s">
        <v>289</v>
      </c>
      <c r="I4" s="29" t="str">
        <f t="shared" si="1"/>
        <v>3h</v>
      </c>
      <c r="J4" s="29" t="s">
        <v>255</v>
      </c>
      <c r="M4" s="29" t="str">
        <f t="shared" si="2"/>
        <v>2003h</v>
      </c>
      <c r="N4" s="29" t="s">
        <v>90</v>
      </c>
      <c r="Q4" s="29" t="str">
        <f t="shared" si="3"/>
        <v>703h</v>
      </c>
      <c r="R4" s="29" t="s">
        <v>136</v>
      </c>
      <c r="S4" s="29" t="s">
        <v>137</v>
      </c>
    </row>
    <row r="5" spans="1:19" x14ac:dyDescent="0.3">
      <c r="A5" s="29" t="s">
        <v>240</v>
      </c>
      <c r="B5" s="29" t="s">
        <v>115</v>
      </c>
      <c r="E5" s="29" t="str">
        <f t="shared" si="0"/>
        <v>1004h</v>
      </c>
      <c r="F5" s="29" t="s">
        <v>160</v>
      </c>
      <c r="G5" s="29" t="s">
        <v>110</v>
      </c>
      <c r="I5" s="29" t="str">
        <f t="shared" si="1"/>
        <v>4h</v>
      </c>
      <c r="J5" s="29" t="s">
        <v>130</v>
      </c>
      <c r="K5" s="29" t="s">
        <v>236</v>
      </c>
      <c r="M5" s="29" t="str">
        <f t="shared" si="2"/>
        <v>2004h</v>
      </c>
      <c r="N5" s="29" t="s">
        <v>134</v>
      </c>
      <c r="Q5" s="29" t="str">
        <f t="shared" si="3"/>
        <v>704h</v>
      </c>
      <c r="R5" s="29" t="s">
        <v>90</v>
      </c>
    </row>
    <row r="6" spans="1:19" x14ac:dyDescent="0.3">
      <c r="A6" s="29" t="s">
        <v>297</v>
      </c>
      <c r="B6" s="29" t="s">
        <v>292</v>
      </c>
      <c r="E6" s="29" t="str">
        <f t="shared" si="0"/>
        <v>1005h</v>
      </c>
      <c r="F6" s="29" t="s">
        <v>90</v>
      </c>
      <c r="G6" s="29" t="s">
        <v>99</v>
      </c>
      <c r="I6" s="29" t="str">
        <f t="shared" si="1"/>
        <v>5h</v>
      </c>
      <c r="J6" s="29" t="s">
        <v>255</v>
      </c>
      <c r="M6" s="29" t="str">
        <f t="shared" si="2"/>
        <v>2005h</v>
      </c>
      <c r="N6" s="29" t="s">
        <v>160</v>
      </c>
      <c r="O6" s="29" t="s">
        <v>110</v>
      </c>
      <c r="Q6" s="29" t="str">
        <f t="shared" si="3"/>
        <v>705h</v>
      </c>
      <c r="R6" s="29" t="s">
        <v>136</v>
      </c>
    </row>
    <row r="7" spans="1:19" x14ac:dyDescent="0.3">
      <c r="A7" s="29" t="s">
        <v>296</v>
      </c>
      <c r="B7" s="29" t="s">
        <v>293</v>
      </c>
      <c r="C7" s="29" t="s">
        <v>244</v>
      </c>
      <c r="E7" s="29" t="str">
        <f t="shared" si="0"/>
        <v>1006h</v>
      </c>
      <c r="F7" s="29" t="s">
        <v>155</v>
      </c>
      <c r="I7" s="29" t="str">
        <f t="shared" si="1"/>
        <v>6h</v>
      </c>
      <c r="J7" s="29" t="s">
        <v>112</v>
      </c>
      <c r="K7" s="29" t="s">
        <v>235</v>
      </c>
      <c r="M7" s="29" t="str">
        <f t="shared" si="2"/>
        <v>2006h</v>
      </c>
      <c r="N7" s="29" t="s">
        <v>90</v>
      </c>
      <c r="O7" s="29" t="s">
        <v>99</v>
      </c>
      <c r="Q7" s="29" t="str">
        <f t="shared" si="3"/>
        <v>706h</v>
      </c>
      <c r="R7" s="29" t="s">
        <v>136</v>
      </c>
      <c r="S7" s="29" t="s">
        <v>137</v>
      </c>
    </row>
    <row r="8" spans="1:19" x14ac:dyDescent="0.3">
      <c r="A8" s="29" t="s">
        <v>300</v>
      </c>
      <c r="B8" s="29" t="s">
        <v>294</v>
      </c>
      <c r="C8" s="29" t="s">
        <v>246</v>
      </c>
      <c r="E8" s="29" t="str">
        <f t="shared" si="0"/>
        <v>1007h</v>
      </c>
      <c r="F8" s="29" t="s">
        <v>289</v>
      </c>
      <c r="I8" s="29" t="str">
        <f t="shared" si="1"/>
        <v>7h</v>
      </c>
      <c r="J8" s="29" t="s">
        <v>255</v>
      </c>
      <c r="M8" s="29" t="str">
        <f t="shared" si="2"/>
        <v>2007h</v>
      </c>
      <c r="N8" s="29" t="s">
        <v>95</v>
      </c>
      <c r="Q8" s="29" t="str">
        <f t="shared" si="3"/>
        <v>707h</v>
      </c>
      <c r="R8" s="29" t="s">
        <v>90</v>
      </c>
    </row>
    <row r="9" spans="1:19" x14ac:dyDescent="0.3">
      <c r="A9" s="29" t="s">
        <v>303</v>
      </c>
      <c r="B9" s="29" t="s">
        <v>108</v>
      </c>
      <c r="E9" s="29" t="str">
        <f t="shared" si="0"/>
        <v>1008h</v>
      </c>
      <c r="F9" s="29" t="s">
        <v>94</v>
      </c>
      <c r="G9" s="29" t="s">
        <v>290</v>
      </c>
      <c r="I9" s="29" t="str">
        <f t="shared" si="1"/>
        <v>8h</v>
      </c>
      <c r="J9" s="29" t="s">
        <v>260</v>
      </c>
      <c r="K9" s="29" t="s">
        <v>234</v>
      </c>
      <c r="M9" s="29" t="str">
        <f t="shared" si="2"/>
        <v>2008h</v>
      </c>
      <c r="N9" s="29" t="s">
        <v>90</v>
      </c>
      <c r="Q9" s="29" t="str">
        <f t="shared" si="3"/>
        <v>708h</v>
      </c>
      <c r="R9" s="29" t="s">
        <v>136</v>
      </c>
    </row>
    <row r="10" spans="1:19" x14ac:dyDescent="0.3">
      <c r="E10" s="29" t="str">
        <f t="shared" si="0"/>
        <v>1009h</v>
      </c>
      <c r="F10" s="29" t="s">
        <v>130</v>
      </c>
      <c r="I10" s="29" t="str">
        <f t="shared" si="1"/>
        <v>9h</v>
      </c>
      <c r="J10" s="29" t="s">
        <v>255</v>
      </c>
      <c r="M10" s="29" t="str">
        <f t="shared" si="2"/>
        <v>2009h</v>
      </c>
      <c r="N10" s="29" t="s">
        <v>93</v>
      </c>
      <c r="O10" s="29" t="s">
        <v>104</v>
      </c>
      <c r="Q10" s="29" t="str">
        <f t="shared" si="3"/>
        <v>709h</v>
      </c>
      <c r="R10" s="29" t="s">
        <v>136</v>
      </c>
      <c r="S10" s="29" t="s">
        <v>137</v>
      </c>
    </row>
    <row r="11" spans="1:19" x14ac:dyDescent="0.3">
      <c r="A11" s="29" t="s">
        <v>258</v>
      </c>
      <c r="B11" s="29" t="s">
        <v>263</v>
      </c>
      <c r="C11" s="29" t="s">
        <v>278</v>
      </c>
      <c r="I11" s="29" t="str">
        <f t="shared" si="1"/>
        <v>Ah</v>
      </c>
      <c r="J11" s="29" t="s">
        <v>261</v>
      </c>
      <c r="K11" s="29" t="s">
        <v>245</v>
      </c>
      <c r="M11" s="29" t="str">
        <f t="shared" si="2"/>
        <v>200Ah</v>
      </c>
      <c r="N11" s="29" t="s">
        <v>94</v>
      </c>
      <c r="O11" s="29" t="s">
        <v>106</v>
      </c>
      <c r="Q11" s="29" t="str">
        <f t="shared" si="3"/>
        <v>70Ah</v>
      </c>
      <c r="R11" s="29" t="s">
        <v>90</v>
      </c>
    </row>
    <row r="12" spans="1:19" x14ac:dyDescent="0.3">
      <c r="A12" s="29" t="s">
        <v>271</v>
      </c>
      <c r="B12" s="29" t="s">
        <v>264</v>
      </c>
      <c r="C12" s="29" t="s">
        <v>279</v>
      </c>
      <c r="E12" s="29" t="s">
        <v>240</v>
      </c>
      <c r="F12" s="29" t="s">
        <v>128</v>
      </c>
      <c r="G12" s="29" t="s">
        <v>115</v>
      </c>
      <c r="I12" s="29" t="str">
        <f t="shared" si="1"/>
        <v>Bh</v>
      </c>
      <c r="J12" s="29" t="s">
        <v>255</v>
      </c>
      <c r="M12" s="29" t="str">
        <f t="shared" si="2"/>
        <v>200Bh</v>
      </c>
      <c r="N12" s="29" t="s">
        <v>90</v>
      </c>
      <c r="Q12" s="29" t="str">
        <f t="shared" si="3"/>
        <v>70Bh</v>
      </c>
      <c r="R12" s="29" t="s">
        <v>136</v>
      </c>
    </row>
    <row r="13" spans="1:19" x14ac:dyDescent="0.3">
      <c r="A13" s="29" t="s">
        <v>272</v>
      </c>
      <c r="B13" s="29" t="s">
        <v>265</v>
      </c>
      <c r="C13" s="29" t="s">
        <v>280</v>
      </c>
      <c r="E13" s="29" t="str">
        <f t="shared" si="0"/>
        <v>1011h</v>
      </c>
      <c r="F13" s="29" t="s">
        <v>131</v>
      </c>
      <c r="G13" s="29" t="s">
        <v>97</v>
      </c>
      <c r="I13" s="29" t="str">
        <f t="shared" si="1"/>
        <v>Ch</v>
      </c>
      <c r="J13" s="29" t="s">
        <v>161</v>
      </c>
      <c r="K13" s="29" t="s">
        <v>246</v>
      </c>
      <c r="M13" s="29" t="str">
        <f t="shared" si="2"/>
        <v>200Ch</v>
      </c>
      <c r="N13" s="29" t="s">
        <v>134</v>
      </c>
      <c r="Q13" s="29" t="str">
        <f t="shared" si="3"/>
        <v>70Ch</v>
      </c>
      <c r="R13" s="29" t="s">
        <v>136</v>
      </c>
      <c r="S13" s="29" t="s">
        <v>137</v>
      </c>
    </row>
    <row r="14" spans="1:19" x14ac:dyDescent="0.3">
      <c r="A14" s="29" t="s">
        <v>273</v>
      </c>
      <c r="B14" s="29" t="s">
        <v>266</v>
      </c>
      <c r="C14" s="29" t="s">
        <v>281</v>
      </c>
      <c r="E14" s="29" t="str">
        <f t="shared" si="0"/>
        <v>1012h</v>
      </c>
      <c r="F14" s="29" t="s">
        <v>90</v>
      </c>
      <c r="G14" s="29" t="s">
        <v>99</v>
      </c>
      <c r="I14" s="29" t="str">
        <f t="shared" si="1"/>
        <v>Dh</v>
      </c>
      <c r="J14" s="29" t="s">
        <v>255</v>
      </c>
      <c r="M14" s="29" t="str">
        <f t="shared" si="2"/>
        <v>200Dh</v>
      </c>
      <c r="N14" s="29" t="s">
        <v>255</v>
      </c>
      <c r="O14" s="29" t="s">
        <v>250</v>
      </c>
      <c r="Q14" s="29" t="str">
        <f t="shared" si="3"/>
        <v>70Dh</v>
      </c>
      <c r="R14" s="29" t="s">
        <v>90</v>
      </c>
    </row>
    <row r="15" spans="1:19" x14ac:dyDescent="0.3">
      <c r="A15" s="29" t="s">
        <v>275</v>
      </c>
      <c r="B15" s="29" t="s">
        <v>267</v>
      </c>
      <c r="C15" s="29" t="s">
        <v>282</v>
      </c>
      <c r="E15" s="29" t="str">
        <f t="shared" si="0"/>
        <v>1013h</v>
      </c>
      <c r="F15" s="29" t="s">
        <v>90</v>
      </c>
      <c r="I15" s="29" t="str">
        <f t="shared" si="1"/>
        <v>Eh</v>
      </c>
      <c r="J15" s="29" t="s">
        <v>262</v>
      </c>
      <c r="K15" s="29" t="s">
        <v>237</v>
      </c>
      <c r="M15" s="29" t="str">
        <f t="shared" si="2"/>
        <v>200Eh</v>
      </c>
      <c r="N15" s="29" t="s">
        <v>238</v>
      </c>
      <c r="O15" s="29" t="s">
        <v>251</v>
      </c>
      <c r="Q15" s="29" t="str">
        <f t="shared" si="3"/>
        <v>70Eh</v>
      </c>
      <c r="R15" s="29" t="s">
        <v>136</v>
      </c>
    </row>
    <row r="16" spans="1:19" x14ac:dyDescent="0.3">
      <c r="A16" s="29" t="s">
        <v>274</v>
      </c>
      <c r="B16" s="29" t="s">
        <v>268</v>
      </c>
      <c r="C16" s="29" t="s">
        <v>283</v>
      </c>
      <c r="E16" s="29" t="str">
        <f t="shared" si="0"/>
        <v>1014h</v>
      </c>
      <c r="F16" s="29" t="s">
        <v>295</v>
      </c>
      <c r="I16" s="29" t="str">
        <f t="shared" si="1"/>
        <v>Fh</v>
      </c>
      <c r="J16" s="29" t="s">
        <v>255</v>
      </c>
      <c r="Q16" s="29" t="str">
        <f t="shared" si="3"/>
        <v>70Fh</v>
      </c>
      <c r="R16" s="29" t="s">
        <v>136</v>
      </c>
      <c r="S16" s="29" t="s">
        <v>137</v>
      </c>
    </row>
    <row r="17" spans="1:19" x14ac:dyDescent="0.3">
      <c r="A17" s="29" t="s">
        <v>276</v>
      </c>
      <c r="B17" s="29" t="s">
        <v>269</v>
      </c>
      <c r="C17" s="29" t="s">
        <v>284</v>
      </c>
      <c r="E17" s="29" t="str">
        <f t="shared" si="0"/>
        <v>1015h</v>
      </c>
      <c r="F17" s="29" t="s">
        <v>93</v>
      </c>
      <c r="G17" s="29" t="s">
        <v>104</v>
      </c>
      <c r="Q17" s="29" t="str">
        <f t="shared" si="3"/>
        <v>710h</v>
      </c>
      <c r="R17" s="29" t="s">
        <v>90</v>
      </c>
    </row>
    <row r="18" spans="1:19" x14ac:dyDescent="0.3">
      <c r="A18" s="29" t="s">
        <v>277</v>
      </c>
      <c r="B18" s="29" t="s">
        <v>270</v>
      </c>
      <c r="C18" s="29" t="s">
        <v>285</v>
      </c>
      <c r="E18" s="29" t="str">
        <f t="shared" si="0"/>
        <v>1016h</v>
      </c>
      <c r="F18" s="29" t="s">
        <v>298</v>
      </c>
      <c r="G18" s="29" t="s">
        <v>299</v>
      </c>
      <c r="Q18" s="29" t="str">
        <f t="shared" si="3"/>
        <v>711h</v>
      </c>
      <c r="R18" s="29" t="s">
        <v>136</v>
      </c>
    </row>
    <row r="19" spans="1:19" x14ac:dyDescent="0.3">
      <c r="E19" s="29" t="str">
        <f t="shared" si="0"/>
        <v>1017h</v>
      </c>
      <c r="F19" s="29" t="s">
        <v>93</v>
      </c>
      <c r="G19" s="29" t="s">
        <v>104</v>
      </c>
      <c r="Q19" s="29" t="str">
        <f t="shared" si="3"/>
        <v>712h</v>
      </c>
      <c r="R19" s="29" t="s">
        <v>136</v>
      </c>
      <c r="S19" s="29" t="s">
        <v>137</v>
      </c>
    </row>
    <row r="20" spans="1:19" x14ac:dyDescent="0.3">
      <c r="E20" s="29" t="str">
        <f t="shared" si="0"/>
        <v>1018h</v>
      </c>
      <c r="F20" s="29" t="s">
        <v>301</v>
      </c>
      <c r="G20" s="42" t="s">
        <v>302</v>
      </c>
      <c r="Q20" s="29" t="str">
        <f t="shared" si="3"/>
        <v>713h</v>
      </c>
      <c r="R20" s="29" t="s">
        <v>90</v>
      </c>
    </row>
    <row r="21" spans="1:19" x14ac:dyDescent="0.3">
      <c r="E21" s="29" t="str">
        <f t="shared" si="0"/>
        <v>1019h</v>
      </c>
      <c r="F21" s="29" t="s">
        <v>90</v>
      </c>
      <c r="G21" s="29" t="s">
        <v>108</v>
      </c>
      <c r="Q21" s="29" t="str">
        <f t="shared" si="3"/>
        <v>714h</v>
      </c>
      <c r="R21" s="29" t="s">
        <v>136</v>
      </c>
    </row>
    <row r="22" spans="1:19" x14ac:dyDescent="0.3">
      <c r="Q22" s="29" t="str">
        <f t="shared" si="3"/>
        <v>715h</v>
      </c>
      <c r="R22" s="29" t="s">
        <v>136</v>
      </c>
      <c r="S22" s="29" t="s">
        <v>137</v>
      </c>
    </row>
    <row r="23" spans="1:19" x14ac:dyDescent="0.3">
      <c r="Q23" s="29" t="str">
        <f t="shared" si="3"/>
        <v>716h</v>
      </c>
      <c r="R23" s="29" t="s">
        <v>90</v>
      </c>
    </row>
    <row r="24" spans="1:19" x14ac:dyDescent="0.3">
      <c r="Q24" s="29" t="str">
        <f t="shared" si="3"/>
        <v>717h</v>
      </c>
      <c r="R24" s="29" t="s">
        <v>136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FETCH</vt:lpstr>
      <vt:lpstr>ADDR</vt:lpstr>
      <vt:lpstr>EXEC</vt:lpstr>
      <vt:lpstr>INTR</vt:lpstr>
      <vt:lpstr>Test 0</vt:lpstr>
      <vt:lpstr>Test 1</vt:lpstr>
      <vt:lpstr>Test 2</vt:lpstr>
      <vt:lpstr>Test 3</vt:lpstr>
      <vt:lpstr>Test 4</vt:lpstr>
      <vt:lpstr>Test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Windows User</cp:lastModifiedBy>
  <dcterms:created xsi:type="dcterms:W3CDTF">2015-06-05T18:17:20Z</dcterms:created>
  <dcterms:modified xsi:type="dcterms:W3CDTF">2021-09-23T23:37:56Z</dcterms:modified>
</cp:coreProperties>
</file>